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4257841395ed043/Desktop/MicroSaas/finance-micro-saas/"/>
    </mc:Choice>
  </mc:AlternateContent>
  <xr:revisionPtr revIDLastSave="0" documentId="8_{768454BF-2F33-4394-BBCB-2DB78F247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 ANUAL" sheetId="1" r:id="rId1"/>
    <sheet name="METAS" sheetId="2" r:id="rId2"/>
    <sheet name="INVESTIMENTOS" sheetId="3" r:id="rId3"/>
    <sheet name="CATEGORIASCONFIGS" sheetId="4" r:id="rId4"/>
    <sheet name="JANEIRO2026" sheetId="5" r:id="rId5"/>
    <sheet name="FEVEREIRO2026" sheetId="6" r:id="rId6"/>
    <sheet name="MARÇO2026" sheetId="7" r:id="rId7"/>
    <sheet name="ABRIL2026" sheetId="8" r:id="rId8"/>
    <sheet name="MAIO2026" sheetId="9" r:id="rId9"/>
    <sheet name="JUNHO2026" sheetId="10" r:id="rId10"/>
    <sheet name="JULHO2026" sheetId="11" r:id="rId11"/>
    <sheet name="AGOSTO2026" sheetId="12" r:id="rId12"/>
    <sheet name="SETEMBRO2026" sheetId="13" r:id="rId13"/>
    <sheet name="OUTUBRO2026" sheetId="14" r:id="rId14"/>
    <sheet name="NOVEMBRO2026" sheetId="15" r:id="rId15"/>
    <sheet name="DEZEMBRO2026" sheetId="16" r:id="rId16"/>
  </sheets>
  <definedNames>
    <definedName name="_xlnm._FilterDatabase" localSheetId="11" hidden="1">AGOSTO2026!$E$1:$E$993</definedName>
    <definedName name="_xlnm._FilterDatabase" localSheetId="13" hidden="1">OUTUBRO2026!$E$1:$E$1000</definedName>
  </definedNames>
  <calcPr calcId="181029"/>
</workbook>
</file>

<file path=xl/calcChain.xml><?xml version="1.0" encoding="utf-8"?>
<calcChain xmlns="http://schemas.openxmlformats.org/spreadsheetml/2006/main">
  <c r="G5" i="16" l="1"/>
  <c r="G9" i="15"/>
  <c r="G3" i="15"/>
  <c r="G3" i="14"/>
  <c r="G37" i="13"/>
  <c r="G3" i="6"/>
  <c r="K3" i="6" s="1"/>
  <c r="G2" i="6"/>
  <c r="AM8" i="16"/>
  <c r="AM7" i="16"/>
  <c r="AM6" i="16"/>
  <c r="AM5" i="16"/>
  <c r="AM4" i="16"/>
  <c r="AM3" i="16"/>
  <c r="AM2" i="16"/>
  <c r="AM8" i="15"/>
  <c r="AM7" i="15"/>
  <c r="AM6" i="15"/>
  <c r="AM5" i="15"/>
  <c r="AM4" i="15"/>
  <c r="AM3" i="15"/>
  <c r="AM2" i="15"/>
  <c r="AM8" i="14"/>
  <c r="AM7" i="14"/>
  <c r="AM6" i="14"/>
  <c r="AM5" i="14"/>
  <c r="AM4" i="14"/>
  <c r="AM3" i="14"/>
  <c r="AM2" i="14"/>
  <c r="AM8" i="13"/>
  <c r="AM7" i="13"/>
  <c r="AM6" i="13"/>
  <c r="AM5" i="13"/>
  <c r="AM4" i="13"/>
  <c r="AM3" i="13"/>
  <c r="AM2" i="13"/>
  <c r="AM8" i="12"/>
  <c r="AM7" i="12"/>
  <c r="AM6" i="12"/>
  <c r="AM5" i="12"/>
  <c r="AM4" i="12"/>
  <c r="AM3" i="12"/>
  <c r="AM2" i="12"/>
  <c r="AM8" i="11"/>
  <c r="AM7" i="11"/>
  <c r="AM6" i="11"/>
  <c r="AM5" i="11"/>
  <c r="AM4" i="11"/>
  <c r="AM3" i="11"/>
  <c r="AM2" i="11"/>
  <c r="AM8" i="10"/>
  <c r="AM7" i="10"/>
  <c r="AM6" i="10"/>
  <c r="AM5" i="10"/>
  <c r="AM4" i="10"/>
  <c r="AM3" i="10"/>
  <c r="AM2" i="10"/>
  <c r="AM8" i="9"/>
  <c r="AM7" i="9"/>
  <c r="AM6" i="9"/>
  <c r="AM5" i="9"/>
  <c r="AM4" i="9"/>
  <c r="AM3" i="9"/>
  <c r="AM2" i="9"/>
  <c r="AM8" i="8"/>
  <c r="AM7" i="8"/>
  <c r="AM6" i="8"/>
  <c r="AM5" i="8"/>
  <c r="AM4" i="8"/>
  <c r="AM3" i="8"/>
  <c r="AM2" i="8"/>
  <c r="AM8" i="7"/>
  <c r="AM7" i="7"/>
  <c r="AM6" i="7"/>
  <c r="AM5" i="7"/>
  <c r="AM4" i="7"/>
  <c r="AM3" i="7"/>
  <c r="AM2" i="7"/>
  <c r="AM8" i="6"/>
  <c r="AM7" i="6"/>
  <c r="AM6" i="6"/>
  <c r="AM5" i="6"/>
  <c r="AM4" i="6"/>
  <c r="AM3" i="6"/>
  <c r="AM2" i="6"/>
  <c r="AM8" i="5"/>
  <c r="AM7" i="5"/>
  <c r="AM6" i="5"/>
  <c r="AM5" i="5"/>
  <c r="AM4" i="5"/>
  <c r="AM3" i="5"/>
  <c r="AM2" i="5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G263" i="16"/>
  <c r="G262" i="16"/>
  <c r="G261" i="16"/>
  <c r="G260" i="16"/>
  <c r="G259" i="16"/>
  <c r="G258" i="16"/>
  <c r="G257" i="16"/>
  <c r="G256" i="16"/>
  <c r="G255" i="16"/>
  <c r="G254" i="16"/>
  <c r="G253" i="16"/>
  <c r="G252" i="16"/>
  <c r="G251" i="16"/>
  <c r="G250" i="16"/>
  <c r="G249" i="16"/>
  <c r="G248" i="16"/>
  <c r="G247" i="16"/>
  <c r="G246" i="16"/>
  <c r="G245" i="16"/>
  <c r="G244" i="16"/>
  <c r="G243" i="16"/>
  <c r="G242" i="16"/>
  <c r="G241" i="16"/>
  <c r="G240" i="16"/>
  <c r="G239" i="16"/>
  <c r="G238" i="16"/>
  <c r="G237" i="16"/>
  <c r="G236" i="16"/>
  <c r="G235" i="16"/>
  <c r="G234" i="16"/>
  <c r="G233" i="16"/>
  <c r="G232" i="16"/>
  <c r="G231" i="16"/>
  <c r="G230" i="16"/>
  <c r="G229" i="16"/>
  <c r="G228" i="16"/>
  <c r="G227" i="16"/>
  <c r="G226" i="16"/>
  <c r="G225" i="16"/>
  <c r="G224" i="16"/>
  <c r="G223" i="16"/>
  <c r="G222" i="16"/>
  <c r="G221" i="16"/>
  <c r="G220" i="16"/>
  <c r="G219" i="16"/>
  <c r="G218" i="16"/>
  <c r="G217" i="16"/>
  <c r="G216" i="16"/>
  <c r="G215" i="16"/>
  <c r="G214" i="16"/>
  <c r="G213" i="16"/>
  <c r="G212" i="16"/>
  <c r="G211" i="16"/>
  <c r="G210" i="16"/>
  <c r="G209" i="16"/>
  <c r="G208" i="16"/>
  <c r="G207" i="16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R11" i="16"/>
  <c r="M11" i="16"/>
  <c r="G11" i="16"/>
  <c r="R10" i="16"/>
  <c r="M10" i="16"/>
  <c r="G10" i="16"/>
  <c r="R9" i="16"/>
  <c r="M9" i="16"/>
  <c r="G9" i="16"/>
  <c r="R8" i="16"/>
  <c r="M8" i="16"/>
  <c r="G8" i="16"/>
  <c r="G7" i="16"/>
  <c r="G6" i="16"/>
  <c r="G4" i="16"/>
  <c r="G3" i="16"/>
  <c r="M2" i="16"/>
  <c r="G2" i="16"/>
  <c r="M3" i="16" s="1"/>
  <c r="G416" i="15"/>
  <c r="G415" i="15"/>
  <c r="G414" i="15"/>
  <c r="G413" i="15"/>
  <c r="G412" i="15"/>
  <c r="G411" i="15"/>
  <c r="G410" i="15"/>
  <c r="G409" i="15"/>
  <c r="G408" i="15"/>
  <c r="G407" i="15"/>
  <c r="G406" i="15"/>
  <c r="G405" i="15"/>
  <c r="G404" i="15"/>
  <c r="G403" i="15"/>
  <c r="G402" i="15"/>
  <c r="G401" i="15"/>
  <c r="G400" i="15"/>
  <c r="G399" i="15"/>
  <c r="G398" i="15"/>
  <c r="G397" i="15"/>
  <c r="G396" i="15"/>
  <c r="G395" i="15"/>
  <c r="G394" i="15"/>
  <c r="G393" i="15"/>
  <c r="G392" i="15"/>
  <c r="G391" i="15"/>
  <c r="G390" i="15"/>
  <c r="G389" i="15"/>
  <c r="G388" i="15"/>
  <c r="G387" i="15"/>
  <c r="G386" i="15"/>
  <c r="G385" i="15"/>
  <c r="G384" i="15"/>
  <c r="G383" i="15"/>
  <c r="G382" i="15"/>
  <c r="G381" i="15"/>
  <c r="G380" i="15"/>
  <c r="G379" i="15"/>
  <c r="G378" i="15"/>
  <c r="G377" i="15"/>
  <c r="G376" i="15"/>
  <c r="G375" i="15"/>
  <c r="G374" i="15"/>
  <c r="G373" i="15"/>
  <c r="G372" i="15"/>
  <c r="G371" i="15"/>
  <c r="G370" i="15"/>
  <c r="G369" i="15"/>
  <c r="G368" i="15"/>
  <c r="G367" i="15"/>
  <c r="G366" i="15"/>
  <c r="G365" i="15"/>
  <c r="G364" i="15"/>
  <c r="G363" i="15"/>
  <c r="G362" i="15"/>
  <c r="G361" i="15"/>
  <c r="G360" i="15"/>
  <c r="G359" i="15"/>
  <c r="G358" i="15"/>
  <c r="G357" i="15"/>
  <c r="G356" i="15"/>
  <c r="G355" i="15"/>
  <c r="G354" i="15"/>
  <c r="G353" i="15"/>
  <c r="G352" i="15"/>
  <c r="G351" i="15"/>
  <c r="G350" i="15"/>
  <c r="G349" i="15"/>
  <c r="G348" i="15"/>
  <c r="G347" i="15"/>
  <c r="G346" i="15"/>
  <c r="G345" i="15"/>
  <c r="G344" i="15"/>
  <c r="G343" i="15"/>
  <c r="G342" i="15"/>
  <c r="G341" i="15"/>
  <c r="G340" i="15"/>
  <c r="G339" i="15"/>
  <c r="G338" i="15"/>
  <c r="G337" i="15"/>
  <c r="G336" i="15"/>
  <c r="G335" i="15"/>
  <c r="G334" i="15"/>
  <c r="G333" i="15"/>
  <c r="G332" i="15"/>
  <c r="G331" i="15"/>
  <c r="G330" i="15"/>
  <c r="G329" i="15"/>
  <c r="G328" i="15"/>
  <c r="G327" i="15"/>
  <c r="G326" i="15"/>
  <c r="G325" i="15"/>
  <c r="G324" i="15"/>
  <c r="G323" i="15"/>
  <c r="G322" i="15"/>
  <c r="G321" i="15"/>
  <c r="G320" i="15"/>
  <c r="G319" i="15"/>
  <c r="G318" i="15"/>
  <c r="G317" i="15"/>
  <c r="G316" i="15"/>
  <c r="G315" i="15"/>
  <c r="G314" i="15"/>
  <c r="G313" i="15"/>
  <c r="G312" i="15"/>
  <c r="G311" i="15"/>
  <c r="G310" i="15"/>
  <c r="G309" i="15"/>
  <c r="G308" i="15"/>
  <c r="G307" i="15"/>
  <c r="G306" i="15"/>
  <c r="G305" i="15"/>
  <c r="G304" i="15"/>
  <c r="G303" i="15"/>
  <c r="G302" i="15"/>
  <c r="G301" i="15"/>
  <c r="G300" i="15"/>
  <c r="G299" i="15"/>
  <c r="G298" i="15"/>
  <c r="G297" i="15"/>
  <c r="G296" i="15"/>
  <c r="G295" i="15"/>
  <c r="G294" i="15"/>
  <c r="G293" i="15"/>
  <c r="G292" i="15"/>
  <c r="G291" i="15"/>
  <c r="G290" i="15"/>
  <c r="G289" i="15"/>
  <c r="G288" i="15"/>
  <c r="G287" i="15"/>
  <c r="G286" i="15"/>
  <c r="G285" i="15"/>
  <c r="G284" i="15"/>
  <c r="G283" i="15"/>
  <c r="G282" i="15"/>
  <c r="G281" i="15"/>
  <c r="G280" i="15"/>
  <c r="G279" i="15"/>
  <c r="G278" i="15"/>
  <c r="G277" i="15"/>
  <c r="G276" i="15"/>
  <c r="G275" i="15"/>
  <c r="G274" i="15"/>
  <c r="G273" i="15"/>
  <c r="G272" i="15"/>
  <c r="G271" i="15"/>
  <c r="G270" i="15"/>
  <c r="G269" i="15"/>
  <c r="G268" i="15"/>
  <c r="G267" i="15"/>
  <c r="G266" i="15"/>
  <c r="G265" i="15"/>
  <c r="G264" i="15"/>
  <c r="G263" i="15"/>
  <c r="G262" i="15"/>
  <c r="G261" i="15"/>
  <c r="G260" i="15"/>
  <c r="G259" i="15"/>
  <c r="G258" i="15"/>
  <c r="G257" i="15"/>
  <c r="G256" i="15"/>
  <c r="G255" i="15"/>
  <c r="G254" i="15"/>
  <c r="G253" i="15"/>
  <c r="G252" i="15"/>
  <c r="G251" i="15"/>
  <c r="G250" i="15"/>
  <c r="G249" i="15"/>
  <c r="G248" i="15"/>
  <c r="G247" i="15"/>
  <c r="G246" i="15"/>
  <c r="G245" i="15"/>
  <c r="G244" i="15"/>
  <c r="G243" i="15"/>
  <c r="G242" i="15"/>
  <c r="G241" i="15"/>
  <c r="G240" i="15"/>
  <c r="G239" i="15"/>
  <c r="G238" i="15"/>
  <c r="G237" i="15"/>
  <c r="G236" i="15"/>
  <c r="G235" i="15"/>
  <c r="G234" i="15"/>
  <c r="G233" i="15"/>
  <c r="G232" i="15"/>
  <c r="G231" i="15"/>
  <c r="G230" i="15"/>
  <c r="G229" i="15"/>
  <c r="G228" i="15"/>
  <c r="G227" i="15"/>
  <c r="G226" i="15"/>
  <c r="G225" i="15"/>
  <c r="G224" i="15"/>
  <c r="G223" i="15"/>
  <c r="G222" i="15"/>
  <c r="G221" i="15"/>
  <c r="G220" i="15"/>
  <c r="G219" i="15"/>
  <c r="G218" i="15"/>
  <c r="G217" i="15"/>
  <c r="G216" i="15"/>
  <c r="G215" i="15"/>
  <c r="G214" i="15"/>
  <c r="G213" i="15"/>
  <c r="G212" i="15"/>
  <c r="G211" i="15"/>
  <c r="G210" i="15"/>
  <c r="G209" i="15"/>
  <c r="G208" i="15"/>
  <c r="G207" i="15"/>
  <c r="G206" i="15"/>
  <c r="G205" i="15"/>
  <c r="G204" i="15"/>
  <c r="G203" i="15"/>
  <c r="G202" i="15"/>
  <c r="G201" i="15"/>
  <c r="G200" i="15"/>
  <c r="G199" i="15"/>
  <c r="G198" i="15"/>
  <c r="G197" i="15"/>
  <c r="G196" i="15"/>
  <c r="G195" i="15"/>
  <c r="G194" i="15"/>
  <c r="G193" i="15"/>
  <c r="G192" i="15"/>
  <c r="G191" i="15"/>
  <c r="G190" i="15"/>
  <c r="G189" i="15"/>
  <c r="G188" i="15"/>
  <c r="G187" i="15"/>
  <c r="G186" i="15"/>
  <c r="G185" i="15"/>
  <c r="G184" i="15"/>
  <c r="G183" i="15"/>
  <c r="G182" i="15"/>
  <c r="G181" i="15"/>
  <c r="G180" i="15"/>
  <c r="G179" i="15"/>
  <c r="G178" i="15"/>
  <c r="G177" i="15"/>
  <c r="G176" i="15"/>
  <c r="G175" i="15"/>
  <c r="G174" i="15"/>
  <c r="G173" i="15"/>
  <c r="G172" i="15"/>
  <c r="G171" i="15"/>
  <c r="G170" i="15"/>
  <c r="G169" i="15"/>
  <c r="G168" i="15"/>
  <c r="G167" i="15"/>
  <c r="G166" i="15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R11" i="15"/>
  <c r="M11" i="15"/>
  <c r="G11" i="15"/>
  <c r="R10" i="15"/>
  <c r="M10" i="15"/>
  <c r="G10" i="15"/>
  <c r="M2" i="15" s="1"/>
  <c r="R9" i="15"/>
  <c r="M9" i="15"/>
  <c r="R8" i="15"/>
  <c r="M8" i="15"/>
  <c r="G8" i="15"/>
  <c r="G7" i="15"/>
  <c r="G6" i="15"/>
  <c r="G5" i="15"/>
  <c r="G4" i="15"/>
  <c r="M3" i="15"/>
  <c r="G2" i="15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R11" i="14"/>
  <c r="M11" i="14"/>
  <c r="G11" i="14"/>
  <c r="R10" i="14"/>
  <c r="M10" i="14"/>
  <c r="G10" i="14"/>
  <c r="R9" i="14"/>
  <c r="M9" i="14"/>
  <c r="G9" i="14"/>
  <c r="R8" i="14"/>
  <c r="M8" i="14"/>
  <c r="G8" i="14"/>
  <c r="G7" i="14"/>
  <c r="G6" i="14"/>
  <c r="G5" i="14"/>
  <c r="G4" i="14"/>
  <c r="M2" i="14"/>
  <c r="G2" i="14"/>
  <c r="M3" i="14" s="1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R11" i="13"/>
  <c r="M11" i="13"/>
  <c r="G11" i="13"/>
  <c r="R10" i="13"/>
  <c r="M10" i="13"/>
  <c r="G10" i="13"/>
  <c r="R9" i="13"/>
  <c r="M9" i="13"/>
  <c r="G9" i="13"/>
  <c r="R8" i="13"/>
  <c r="M8" i="13"/>
  <c r="G8" i="13"/>
  <c r="G7" i="13"/>
  <c r="G6" i="13"/>
  <c r="G5" i="13"/>
  <c r="G4" i="13"/>
  <c r="G3" i="13"/>
  <c r="M2" i="13"/>
  <c r="G2" i="13"/>
  <c r="M3" i="13" s="1"/>
  <c r="G77" i="12"/>
  <c r="G76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P11" i="12"/>
  <c r="K11" i="12"/>
  <c r="G11" i="12"/>
  <c r="P10" i="12"/>
  <c r="K10" i="12"/>
  <c r="G10" i="12"/>
  <c r="P9" i="12"/>
  <c r="K9" i="12"/>
  <c r="G9" i="12"/>
  <c r="P8" i="12"/>
  <c r="K8" i="12"/>
  <c r="G8" i="12"/>
  <c r="G7" i="12"/>
  <c r="G6" i="12"/>
  <c r="G5" i="12"/>
  <c r="G4" i="12"/>
  <c r="G3" i="12"/>
  <c r="K3" i="12" s="1"/>
  <c r="G2" i="12"/>
  <c r="K2" i="12" s="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P11" i="11"/>
  <c r="K11" i="11"/>
  <c r="G11" i="11"/>
  <c r="P10" i="11"/>
  <c r="K10" i="11"/>
  <c r="G10" i="11"/>
  <c r="P9" i="11"/>
  <c r="K9" i="11"/>
  <c r="G9" i="11"/>
  <c r="P8" i="11"/>
  <c r="K8" i="11"/>
  <c r="G8" i="11"/>
  <c r="G7" i="11"/>
  <c r="G6" i="11"/>
  <c r="G5" i="11"/>
  <c r="G4" i="11"/>
  <c r="K3" i="11"/>
  <c r="G3" i="11"/>
  <c r="G2" i="11"/>
  <c r="K2" i="11" s="1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P11" i="10"/>
  <c r="K11" i="10"/>
  <c r="P10" i="10"/>
  <c r="K10" i="10"/>
  <c r="P9" i="10"/>
  <c r="K9" i="10"/>
  <c r="P8" i="10"/>
  <c r="K8" i="10"/>
  <c r="K3" i="10"/>
  <c r="K2" i="10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P11" i="9"/>
  <c r="K11" i="9"/>
  <c r="G11" i="9"/>
  <c r="P10" i="9"/>
  <c r="K10" i="9"/>
  <c r="G10" i="9"/>
  <c r="P9" i="9"/>
  <c r="K9" i="9"/>
  <c r="G9" i="9"/>
  <c r="P8" i="9"/>
  <c r="K8" i="9"/>
  <c r="G8" i="9"/>
  <c r="G7" i="9"/>
  <c r="G6" i="9"/>
  <c r="G5" i="9"/>
  <c r="G4" i="9"/>
  <c r="G3" i="9"/>
  <c r="K2" i="9"/>
  <c r="G2" i="9"/>
  <c r="K3" i="9" s="1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P11" i="8"/>
  <c r="K11" i="8"/>
  <c r="G11" i="8"/>
  <c r="P10" i="8"/>
  <c r="K10" i="8"/>
  <c r="G10" i="8"/>
  <c r="P9" i="8"/>
  <c r="K9" i="8"/>
  <c r="G9" i="8"/>
  <c r="P8" i="8"/>
  <c r="K8" i="8"/>
  <c r="G8" i="8"/>
  <c r="G7" i="8"/>
  <c r="G6" i="8"/>
  <c r="G5" i="8"/>
  <c r="G4" i="8"/>
  <c r="K3" i="8"/>
  <c r="G3" i="8"/>
  <c r="K2" i="8"/>
  <c r="G2" i="8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P11" i="7"/>
  <c r="K11" i="7"/>
  <c r="G11" i="7"/>
  <c r="P10" i="7"/>
  <c r="K10" i="7"/>
  <c r="G10" i="7"/>
  <c r="P9" i="7"/>
  <c r="K9" i="7"/>
  <c r="G9" i="7"/>
  <c r="P8" i="7"/>
  <c r="K8" i="7"/>
  <c r="G8" i="7"/>
  <c r="G7" i="7"/>
  <c r="G6" i="7"/>
  <c r="G5" i="7"/>
  <c r="G4" i="7"/>
  <c r="G3" i="7"/>
  <c r="K2" i="7"/>
  <c r="G2" i="7"/>
  <c r="K3" i="7" s="1"/>
  <c r="G50" i="6"/>
  <c r="G49" i="6"/>
  <c r="G48" i="6"/>
  <c r="G47" i="6"/>
  <c r="G46" i="6"/>
  <c r="G45" i="6"/>
  <c r="G44" i="6"/>
  <c r="G43" i="6"/>
  <c r="G42" i="6"/>
  <c r="G41" i="6"/>
  <c r="G40" i="6"/>
  <c r="G39" i="6"/>
  <c r="P11" i="6"/>
  <c r="K11" i="6"/>
  <c r="P10" i="6"/>
  <c r="K10" i="6"/>
  <c r="P9" i="6"/>
  <c r="K9" i="6"/>
  <c r="P8" i="6"/>
  <c r="K8" i="6"/>
  <c r="K2" i="6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P11" i="5"/>
  <c r="K11" i="5"/>
  <c r="G11" i="5"/>
  <c r="P10" i="5"/>
  <c r="K10" i="5"/>
  <c r="G10" i="5"/>
  <c r="P9" i="5"/>
  <c r="K9" i="5"/>
  <c r="G9" i="5"/>
  <c r="P8" i="5"/>
  <c r="K8" i="5"/>
  <c r="G8" i="5"/>
  <c r="G7" i="5"/>
  <c r="G6" i="5"/>
  <c r="G5" i="5"/>
  <c r="G4" i="5"/>
  <c r="G3" i="5"/>
  <c r="K2" i="5"/>
  <c r="G2" i="5"/>
  <c r="K3" i="5" s="1"/>
  <c r="Q37" i="3"/>
  <c r="Q36" i="3"/>
  <c r="Q35" i="3"/>
  <c r="Q34" i="3"/>
  <c r="Q33" i="3"/>
  <c r="O30" i="3"/>
  <c r="O23" i="3"/>
  <c r="P23" i="3" s="1"/>
  <c r="O22" i="3"/>
  <c r="P22" i="3" s="1"/>
  <c r="O21" i="3"/>
  <c r="P21" i="3" s="1"/>
  <c r="O20" i="3"/>
  <c r="P20" i="3" s="1"/>
  <c r="O19" i="3"/>
  <c r="P19" i="3" s="1"/>
  <c r="O18" i="3"/>
  <c r="P18" i="3" s="1"/>
  <c r="B13" i="3"/>
  <c r="O12" i="3"/>
  <c r="B12" i="3"/>
  <c r="B11" i="3"/>
  <c r="O10" i="3"/>
  <c r="B10" i="3"/>
  <c r="O9" i="3"/>
  <c r="B9" i="3"/>
  <c r="O8" i="3"/>
  <c r="B8" i="3"/>
  <c r="O7" i="3"/>
  <c r="B7" i="3"/>
  <c r="O6" i="3"/>
  <c r="B6" i="3"/>
  <c r="B5" i="3"/>
  <c r="B4" i="3"/>
  <c r="B3" i="3"/>
  <c r="B2" i="3"/>
  <c r="C2" i="1"/>
  <c r="C14" i="1" s="1"/>
  <c r="B2" i="1"/>
  <c r="B14" i="1" s="1"/>
  <c r="P11" i="16" l="1"/>
  <c r="S11" i="16" s="1"/>
  <c r="P10" i="16"/>
  <c r="S10" i="16" s="1"/>
  <c r="P9" i="16"/>
  <c r="S9" i="16" s="1"/>
  <c r="P8" i="16"/>
  <c r="S8" i="16" s="1"/>
  <c r="M4" i="16"/>
  <c r="P10" i="15"/>
  <c r="S10" i="15" s="1"/>
  <c r="P11" i="15"/>
  <c r="S11" i="15" s="1"/>
  <c r="M4" i="15"/>
  <c r="P8" i="15"/>
  <c r="S8" i="15" s="1"/>
  <c r="P9" i="15"/>
  <c r="S9" i="15" s="1"/>
  <c r="P11" i="14"/>
  <c r="S11" i="14" s="1"/>
  <c r="M4" i="14"/>
  <c r="P10" i="14"/>
  <c r="S10" i="14" s="1"/>
  <c r="P9" i="14"/>
  <c r="S9" i="14" s="1"/>
  <c r="P8" i="14"/>
  <c r="S8" i="14" s="1"/>
  <c r="P10" i="13"/>
  <c r="S10" i="13" s="1"/>
  <c r="P8" i="13"/>
  <c r="S8" i="13" s="1"/>
  <c r="P9" i="13"/>
  <c r="S9" i="13" s="1"/>
  <c r="P11" i="13"/>
  <c r="S11" i="13" s="1"/>
  <c r="M4" i="13"/>
  <c r="K4" i="12"/>
  <c r="N8" i="12"/>
  <c r="Q8" i="12" s="1"/>
  <c r="N9" i="12"/>
  <c r="Q9" i="12" s="1"/>
  <c r="N10" i="12"/>
  <c r="Q10" i="12" s="1"/>
  <c r="N11" i="12"/>
  <c r="Q11" i="12" s="1"/>
  <c r="N10" i="11"/>
  <c r="Q10" i="11" s="1"/>
  <c r="N11" i="11"/>
  <c r="Q11" i="11" s="1"/>
  <c r="K4" i="11"/>
  <c r="N8" i="11"/>
  <c r="Q8" i="11" s="1"/>
  <c r="N9" i="11"/>
  <c r="Q9" i="11" s="1"/>
  <c r="N10" i="10"/>
  <c r="Q10" i="10" s="1"/>
  <c r="K4" i="10"/>
  <c r="N8" i="10"/>
  <c r="Q8" i="10" s="1"/>
  <c r="N9" i="10"/>
  <c r="Q9" i="10" s="1"/>
  <c r="N11" i="10"/>
  <c r="Q11" i="10" s="1"/>
  <c r="N11" i="9"/>
  <c r="Q11" i="9" s="1"/>
  <c r="N10" i="9"/>
  <c r="Q10" i="9" s="1"/>
  <c r="K4" i="9"/>
  <c r="N8" i="9"/>
  <c r="Q8" i="9" s="1"/>
  <c r="N9" i="9"/>
  <c r="Q9" i="9" s="1"/>
  <c r="N11" i="8"/>
  <c r="Q11" i="8" s="1"/>
  <c r="N10" i="8"/>
  <c r="Q10" i="8" s="1"/>
  <c r="N9" i="8"/>
  <c r="Q9" i="8" s="1"/>
  <c r="K4" i="8"/>
  <c r="N8" i="8"/>
  <c r="Q8" i="8" s="1"/>
  <c r="N8" i="7"/>
  <c r="Q8" i="7" s="1"/>
  <c r="N11" i="7"/>
  <c r="Q11" i="7" s="1"/>
  <c r="N10" i="7"/>
  <c r="Q10" i="7" s="1"/>
  <c r="N9" i="7"/>
  <c r="Q9" i="7" s="1"/>
  <c r="K4" i="7"/>
  <c r="N9" i="6"/>
  <c r="Q9" i="6" s="1"/>
  <c r="K4" i="6"/>
  <c r="N8" i="6"/>
  <c r="Q8" i="6" s="1"/>
  <c r="N11" i="6"/>
  <c r="Q11" i="6" s="1"/>
  <c r="N10" i="6"/>
  <c r="Q10" i="6" s="1"/>
  <c r="N9" i="5"/>
  <c r="Q9" i="5" s="1"/>
  <c r="N11" i="5"/>
  <c r="Q11" i="5" s="1"/>
  <c r="N10" i="5"/>
  <c r="Q10" i="5" s="1"/>
  <c r="N8" i="5"/>
  <c r="Q8" i="5" s="1"/>
  <c r="K4" i="5"/>
  <c r="P33" i="3"/>
  <c r="P37" i="3"/>
  <c r="P35" i="3"/>
  <c r="P34" i="3"/>
  <c r="P36" i="3"/>
  <c r="R33" i="3" l="1"/>
  <c r="S33" i="3"/>
  <c r="R37" i="3"/>
  <c r="S37" i="3"/>
  <c r="R35" i="3"/>
  <c r="S35" i="3"/>
  <c r="R34" i="3"/>
  <c r="S34" i="3"/>
  <c r="R36" i="3"/>
  <c r="S36" i="3"/>
</calcChain>
</file>

<file path=xl/sharedStrings.xml><?xml version="1.0" encoding="utf-8"?>
<sst xmlns="http://schemas.openxmlformats.org/spreadsheetml/2006/main" count="2960" uniqueCount="1014">
  <si>
    <t>MÊS</t>
  </si>
  <si>
    <t>ENTRADAS</t>
  </si>
  <si>
    <t>SAÍDAS</t>
  </si>
  <si>
    <t>INVESTIMENTOS</t>
  </si>
  <si>
    <t>SONHOS</t>
  </si>
  <si>
    <t>TOTAL ANUAL</t>
  </si>
  <si>
    <t>ID_META</t>
  </si>
  <si>
    <t>NOME</t>
  </si>
  <si>
    <t>VALOR_META</t>
  </si>
  <si>
    <t>TIPO</t>
  </si>
  <si>
    <t>STATUS</t>
  </si>
  <si>
    <t>PRIORIDADE</t>
  </si>
  <si>
    <t>DATA_CRIACAO</t>
  </si>
  <si>
    <t>DATA_FINALIZACAO</t>
  </si>
  <si>
    <t>M001</t>
  </si>
  <si>
    <t>Relógio smart</t>
  </si>
  <si>
    <t>ATIVA</t>
  </si>
  <si>
    <t>ABERTA</t>
  </si>
  <si>
    <t>BAIXA</t>
  </si>
  <si>
    <t>M002</t>
  </si>
  <si>
    <t>Teclado gamer</t>
  </si>
  <si>
    <t>DESEJO</t>
  </si>
  <si>
    <t>M003</t>
  </si>
  <si>
    <t>Mouse gamer XQ1 Shark Pro</t>
  </si>
  <si>
    <t>CONCLUIDA</t>
  </si>
  <si>
    <t>M004</t>
  </si>
  <si>
    <t>Mousepad</t>
  </si>
  <si>
    <t>M005</t>
  </si>
  <si>
    <t>Fone de ouvido com fio</t>
  </si>
  <si>
    <t>M006</t>
  </si>
  <si>
    <t>Sapato social Democrata</t>
  </si>
  <si>
    <t>ALTA</t>
  </si>
  <si>
    <t>M007</t>
  </si>
  <si>
    <t>Sapato Adidas casual</t>
  </si>
  <si>
    <t>M008</t>
  </si>
  <si>
    <t>Sapato social Reserva</t>
  </si>
  <si>
    <t>MÉDIA</t>
  </si>
  <si>
    <t>M009</t>
  </si>
  <si>
    <t>Camisa social</t>
  </si>
  <si>
    <t>M010</t>
  </si>
  <si>
    <t>Kit 2 Camisa polo Hering</t>
  </si>
  <si>
    <t>M011</t>
  </si>
  <si>
    <t>Camisa polo Reserva</t>
  </si>
  <si>
    <t>M012</t>
  </si>
  <si>
    <t>Calça social</t>
  </si>
  <si>
    <t>M013</t>
  </si>
  <si>
    <t>Limpeza de dente</t>
  </si>
  <si>
    <t>M014</t>
  </si>
  <si>
    <t>Capinha celular</t>
  </si>
  <si>
    <t>M015</t>
  </si>
  <si>
    <t>Película celular</t>
  </si>
  <si>
    <t>M016</t>
  </si>
  <si>
    <t>Cinto tático Invictus</t>
  </si>
  <si>
    <t>M017</t>
  </si>
  <si>
    <t xml:space="preserve"> 3 Blusa + 2 short de academia</t>
  </si>
  <si>
    <t>M018</t>
  </si>
  <si>
    <t>Fechadura eletrônica</t>
  </si>
  <si>
    <t>M019</t>
  </si>
  <si>
    <t>Perfume</t>
  </si>
  <si>
    <t>M020</t>
  </si>
  <si>
    <t>Jaqueta bobojaco</t>
  </si>
  <si>
    <t>M021</t>
  </si>
  <si>
    <t>Kit 2 jaqueta cortavento Rock Saints</t>
  </si>
  <si>
    <t>M022</t>
  </si>
  <si>
    <t>Fita para perna/coldre</t>
  </si>
  <si>
    <t>M023</t>
  </si>
  <si>
    <t>Curso de inglês Open English</t>
  </si>
  <si>
    <t>M024</t>
  </si>
  <si>
    <t>Tablet para estudo</t>
  </si>
  <si>
    <t>M025</t>
  </si>
  <si>
    <t>Caixinha IPVA</t>
  </si>
  <si>
    <t>M026</t>
  </si>
  <si>
    <t>Caixinha seguro</t>
  </si>
  <si>
    <t>M027</t>
  </si>
  <si>
    <t>Capa de colete</t>
  </si>
  <si>
    <t>M028</t>
  </si>
  <si>
    <t>Mouse gamer</t>
  </si>
  <si>
    <t>VALOR PARA INVESTIR</t>
  </si>
  <si>
    <t xml:space="preserve">DATA </t>
  </si>
  <si>
    <t>CATEGORIA</t>
  </si>
  <si>
    <t>TIPO INVESTIMENTO</t>
  </si>
  <si>
    <t>ATIVO</t>
  </si>
  <si>
    <t>INSTITUIÇÃO</t>
  </si>
  <si>
    <t>VALOR</t>
  </si>
  <si>
    <t>OBSERVAÇÃO</t>
  </si>
  <si>
    <t>VISÃO GERAL DO MÊS</t>
  </si>
  <si>
    <t>RESERVA EMERGÊNCIA</t>
  </si>
  <si>
    <t>CDB</t>
  </si>
  <si>
    <t>NUBANK</t>
  </si>
  <si>
    <t>MÊS SELECIONADO</t>
  </si>
  <si>
    <t>VALOR INVESTIDO NO MÊS</t>
  </si>
  <si>
    <t>RENDA FIXA</t>
  </si>
  <si>
    <t>FII</t>
  </si>
  <si>
    <t>ETFS</t>
  </si>
  <si>
    <t>EXTERIOR</t>
  </si>
  <si>
    <t>TOTAL INVESTIDO NO MÊS</t>
  </si>
  <si>
    <t>VISSÃO TOTAL - PATRIMÔNIO</t>
  </si>
  <si>
    <t>VALOR TOTAL</t>
  </si>
  <si>
    <t>%</t>
  </si>
  <si>
    <t>TOTAL GERAL</t>
  </si>
  <si>
    <t>MÊS PARA METAS</t>
  </si>
  <si>
    <t>META (%)</t>
  </si>
  <si>
    <t>META (R$)</t>
  </si>
  <si>
    <t>INVESTIDO</t>
  </si>
  <si>
    <t>DIFERENÇA</t>
  </si>
  <si>
    <t>PROGRESSO</t>
  </si>
  <si>
    <t>⬇ LANÇAMENTOS MANUAIS ⬇</t>
  </si>
  <si>
    <t>TIIPOS DE LANÇAMENTO</t>
  </si>
  <si>
    <t>CATEGORIAS</t>
  </si>
  <si>
    <t>SUBCATEGORIA</t>
  </si>
  <si>
    <t>PLANEJAMENTO</t>
  </si>
  <si>
    <t>MESES</t>
  </si>
  <si>
    <t>Entrada</t>
  </si>
  <si>
    <t>Essencial</t>
  </si>
  <si>
    <t>Academia</t>
  </si>
  <si>
    <t>PERCENTUAL</t>
  </si>
  <si>
    <t>Saída</t>
  </si>
  <si>
    <t>Não essencial</t>
  </si>
  <si>
    <t>Água</t>
  </si>
  <si>
    <t>ESSENCIAL</t>
  </si>
  <si>
    <t>Investimentos</t>
  </si>
  <si>
    <t>Cabelo</t>
  </si>
  <si>
    <t>Ñ ESSENCIAL</t>
  </si>
  <si>
    <t>Sonhos</t>
  </si>
  <si>
    <t>Carro</t>
  </si>
  <si>
    <t>INVESTIMENTO</t>
  </si>
  <si>
    <t>Salário</t>
  </si>
  <si>
    <t>Casamento</t>
  </si>
  <si>
    <t>Extra</t>
  </si>
  <si>
    <t>Curso</t>
  </si>
  <si>
    <t>Reembolso</t>
  </si>
  <si>
    <t>Emergência</t>
  </si>
  <si>
    <t>Energia</t>
  </si>
  <si>
    <t>Equipamento</t>
  </si>
  <si>
    <t>Estacionamento</t>
  </si>
  <si>
    <t>Faculdade</t>
  </si>
  <si>
    <t xml:space="preserve">Farmácia </t>
  </si>
  <si>
    <t>Gasolina</t>
  </si>
  <si>
    <t>Internet</t>
  </si>
  <si>
    <t>Lanches</t>
  </si>
  <si>
    <t>Lava Jato</t>
  </si>
  <si>
    <t>Livro</t>
  </si>
  <si>
    <t>Manutenção carro</t>
  </si>
  <si>
    <t>Mercado</t>
  </si>
  <si>
    <t>Moradia</t>
  </si>
  <si>
    <t>Netflix</t>
  </si>
  <si>
    <t>Notebook</t>
  </si>
  <si>
    <t>Outros</t>
  </si>
  <si>
    <t>Padaria</t>
  </si>
  <si>
    <t>Presente</t>
  </si>
  <si>
    <t>Restaurante</t>
  </si>
  <si>
    <t>Roupa</t>
  </si>
  <si>
    <t>Sapato</t>
  </si>
  <si>
    <t>Telefone</t>
  </si>
  <si>
    <t>Uber</t>
  </si>
  <si>
    <t>Viagem</t>
  </si>
  <si>
    <t>DATA</t>
  </si>
  <si>
    <t>DESCRIÇÃO</t>
  </si>
  <si>
    <t>VALOR AJUSTADO</t>
  </si>
  <si>
    <t>ID</t>
  </si>
  <si>
    <t>DASHBOARD JANEIRO</t>
  </si>
  <si>
    <t>fb26de88-f953-49a8-84e8-53cc97890c3b</t>
  </si>
  <si>
    <t>Entrada Total</t>
  </si>
  <si>
    <t>28c4a496-471a-42e3-b18a-2e75ccdff438</t>
  </si>
  <si>
    <t>Saída Total</t>
  </si>
  <si>
    <t>SAÍDA</t>
  </si>
  <si>
    <t>À vista</t>
  </si>
  <si>
    <t>Revisão do carro</t>
  </si>
  <si>
    <t>928d1d08-43e1-4f1a-9a15-e6f46058f6cc</t>
  </si>
  <si>
    <t>87a617e0-2a6b-4afc-9daf-9cebbf8fbd3b</t>
  </si>
  <si>
    <t>ca110051-aee4-42a0-8539-e3610955fdc6</t>
  </si>
  <si>
    <t>01668869-4b3c-4fc6-9be0-67608dc65976</t>
  </si>
  <si>
    <t>Categoria</t>
  </si>
  <si>
    <t>Valor Real</t>
  </si>
  <si>
    <t>Valor planejado</t>
  </si>
  <si>
    <t>% Planejado</t>
  </si>
  <si>
    <t>Diferença</t>
  </si>
  <si>
    <t>f015517c-53b7-49e1-8dce-93b6ea79df99</t>
  </si>
  <si>
    <t>a47e1775-ee5c-4335-9b46-428b758c97e5</t>
  </si>
  <si>
    <t>03f582b2-a64f-4c75-804a-c752f94c41ba</t>
  </si>
  <si>
    <t>5a6dd006-a43d-401a-9b83-30ce1d280399</t>
  </si>
  <si>
    <t>26d3615d-a6ca-4079-948f-8b7617573d78</t>
  </si>
  <si>
    <t>e82b7c58-19c7-4ef4-a8d2-02a808e07c8e</t>
  </si>
  <si>
    <t>acf11e76-0d60-4ffa-b138-eb388a69ebb7</t>
  </si>
  <si>
    <t>2a8a34bd-5237-4dd9-b6a3-663d345719eb</t>
  </si>
  <si>
    <t>b6fbf558-40b2-42de-b2f2-7d7f9e91bb69</t>
  </si>
  <si>
    <t>d8432c62-49c9-415f-a7cc-f4f05ba5b308</t>
  </si>
  <si>
    <t>ebe10916-4e1f-467e-a90c-24fad3714cb3</t>
  </si>
  <si>
    <t>e38f2e02-1286-4d2b-a4c7-ca83bcc66f20</t>
  </si>
  <si>
    <t>803e76f6-0f39-43be-91ea-de5d10b0552c</t>
  </si>
  <si>
    <t>79bf1a3c-a418-43f0-beaf-852455f2b7c1</t>
  </si>
  <si>
    <t>d447a803-f79d-4dca-8a08-fc21f5c33328</t>
  </si>
  <si>
    <t>6295bf15-851a-4d85-98f0-1ef5a3c167e7</t>
  </si>
  <si>
    <t>e2138744-7436-4f8a-b5fb-266fe84fc635</t>
  </si>
  <si>
    <t>c580307d-4fcb-4e5f-93c9-4392b8671d42</t>
  </si>
  <si>
    <t>120650c4-ac67-4a3a-8600-a7142d829797</t>
  </si>
  <si>
    <t>8fb7c078-9a36-4905-8059-165c3edf05fe</t>
  </si>
  <si>
    <t>e23562ef-a9a1-47b6-a52e-76389065d463</t>
  </si>
  <si>
    <t>331fbc20-e96a-4bb9-9800-059ca55da0db</t>
  </si>
  <si>
    <t>e39cfeb7-6c0b-4f5b-ba0b-536415e8a2b1</t>
  </si>
  <si>
    <t>f4315537-669b-474d-9b75-ee3659181498</t>
  </si>
  <si>
    <t>e3f363e9-c8ba-4019-8bb5-23e0ea12735d</t>
  </si>
  <si>
    <t>6cfcd925-9a57-49e0-a628-4fc36f73d862</t>
  </si>
  <si>
    <t>216fac5b-2b87-49dc-9c94-dc9ef09b1232</t>
  </si>
  <si>
    <t>fdfd744e-e8f7-49b9-85d4-215a6d32e304</t>
  </si>
  <si>
    <t>f614d254-3125-4145-80a6-4acbbc5f7b65</t>
  </si>
  <si>
    <t>c506cdb7-fb00-4bf9-bb8e-afe6ef352765</t>
  </si>
  <si>
    <t>12b0f32c-a4ab-4f45-97e8-17958c5f090a</t>
  </si>
  <si>
    <t>6ed69490-39ba-4739-b9cd-f63d7ca78800</t>
  </si>
  <si>
    <t>e34e25f0-b2f9-4227-ac73-9095a0fdc18a</t>
  </si>
  <si>
    <t>276565ff-3acf-43fb-9041-fb40aa158530</t>
  </si>
  <si>
    <t>e1fe1357-583b-4649-825f-f0cc3fc83e9b</t>
  </si>
  <si>
    <t>ff4bfc8e-2d12-4136-bf2f-bde6ae15f8c6</t>
  </si>
  <si>
    <t>2bbcaa06-ba35-47e7-8230-917cb3579bec</t>
  </si>
  <si>
    <t>00a76e0a-f944-45b4-9023-581f21015557</t>
  </si>
  <si>
    <t>91fcb3fe-ccfb-4d1f-8ae6-1320dc53bba2</t>
  </si>
  <si>
    <t>6c271b75-6b84-4871-9ccb-35dd721c2d30</t>
  </si>
  <si>
    <t>00c80d65-8d78-448a-b77f-d688f87ae931</t>
  </si>
  <si>
    <t>be5cddc2-33b4-43a3-bc27-67b6899eee70</t>
  </si>
  <si>
    <t>607e8083-665d-48d5-8a02-3bd3547e1c7d</t>
  </si>
  <si>
    <t xml:space="preserve">DASHBOARD FEVEREIRO </t>
  </si>
  <si>
    <t>84e1435b-5f82-42cc-96c9-52739d02f744</t>
  </si>
  <si>
    <t>e11c218c-9f2a-443d-98f8-ecd4d1f1fcda</t>
  </si>
  <si>
    <t>d9fab454-1835-45e6-b7b2-1f3c3ae9bcfb</t>
  </si>
  <si>
    <t>Saldo</t>
  </si>
  <si>
    <t>9648a0e0-d737-44d4-85f5-d2c1b61a4334</t>
  </si>
  <si>
    <t>02be54cf-3261-4a21-9108-f94cd9d09631</t>
  </si>
  <si>
    <t>dce8deec-1fc1-47c6-a920-53af3d2c9a9f</t>
  </si>
  <si>
    <t>7d5e3e14-f0e6-4219-b44a-35e912d5da1c</t>
  </si>
  <si>
    <t>72562636-4834-410f-b5d6-96ffef791352</t>
  </si>
  <si>
    <t>7b5f958d-b290-4ea9-a7bd-3a504f84d9c9</t>
  </si>
  <si>
    <t>c4e2b1d7-3046-4bdc-bbaf-dc577f055dd8</t>
  </si>
  <si>
    <t>74450ae5-7382-47e3-9f53-7e962b306acf</t>
  </si>
  <si>
    <t>186513bb-24f4-495f-800c-3021cf1e69ee</t>
  </si>
  <si>
    <t>12480e0f-9e26-4bef-9ec1-2df0beeb8efc</t>
  </si>
  <si>
    <t>7d7e5c74-0f7d-4927-98ad-85644785c30e</t>
  </si>
  <si>
    <t>da5ff42e-9f22-4e96-b787-00e8ba4049c4</t>
  </si>
  <si>
    <t>be2946db-4f9d-4deb-a891-b8f863cf73e4</t>
  </si>
  <si>
    <t>10783252-01f0-486c-9365-de71d1f87ab0</t>
  </si>
  <si>
    <t>9bcff795-370a-4032-bad6-7557d2fe354d</t>
  </si>
  <si>
    <t>c0f9bb80-4ea1-4494-a9ef-9b31e52c3176</t>
  </si>
  <si>
    <t>6cf306a8-ccdb-4dce-ab0c-5e2faefd6b64</t>
  </si>
  <si>
    <t>c0c6e168-55b3-4048-8bce-dcf971a427bd</t>
  </si>
  <si>
    <t>18dee03f-ecfd-41b8-940c-43938e5f51d2</t>
  </si>
  <si>
    <t>7a4d0dcd-bc9b-42f7-a3dd-cd677eb4fb7b</t>
  </si>
  <si>
    <t>9d48c99d-42d7-4edb-93cf-c3344ba238b6</t>
  </si>
  <si>
    <t>c5754f0c-5caa-400c-8c16-28644494480c</t>
  </si>
  <si>
    <t>8ce5a6a8-ea09-436e-a014-fa2b76956201</t>
  </si>
  <si>
    <t>ad575af5-954e-40e8-a4ce-2e0c2e347c7a</t>
  </si>
  <si>
    <t>cdc645cd-4b80-49c1-b1db-7fb22cd46f04</t>
  </si>
  <si>
    <t>d7953e2e-e868-4136-ac52-3c9a6780e4a3</t>
  </si>
  <si>
    <t>cdc64d9d-a063-44ce-8bb2-ae11a1b4aac7</t>
  </si>
  <si>
    <t>ae1b98c2-4f14-46e7-ba51-2f29782c17de</t>
  </si>
  <si>
    <t>88d91926-a0e4-4fdf-9610-d7a06c273895</t>
  </si>
  <si>
    <t>bca19637-33de-4db0-8276-a9c276197073</t>
  </si>
  <si>
    <t>6cc5b231-7fd9-40cf-a422-509a82352476</t>
  </si>
  <si>
    <t>93824000-e612-49b8-beee-2f1c09e55aca</t>
  </si>
  <si>
    <t>6cc4ea32-5f1e-458e-9ff0-ad6158f1655d</t>
  </si>
  <si>
    <t>252c515a-1676-4727-9f97-3d74f438f257</t>
  </si>
  <si>
    <t>f2955499-9f3c-4b73-994d-0271a9a6352d</t>
  </si>
  <si>
    <t>9630b0ca-910b-414a-a3df-0d8ed6cceacb</t>
  </si>
  <si>
    <t>4386111c-83aa-4a7a-a412-4c8f6b920860</t>
  </si>
  <si>
    <t>c21321c5-525c-49cd-8288-a7c085cebbd2</t>
  </si>
  <si>
    <t>10d78826-f677-4a01-8976-38e056a8dc40</t>
  </si>
  <si>
    <t>c247cfd1-2127-4507-b848-be701b674fd3</t>
  </si>
  <si>
    <t>a6cc2711-9e06-4e3e-baea-8187c0b88f8f</t>
  </si>
  <si>
    <t>9a2d6665-b023-4743-a8e6-c35fcd51a0a0</t>
  </si>
  <si>
    <t>b08f82ba-e390-4a23-8d8c-c52c4ee46759</t>
  </si>
  <si>
    <t>af8d4211-941b-4699-a7fe-4c4fe30297c7</t>
  </si>
  <si>
    <t>d46153fb-accd-42a0-80a4-fe578a6fdb42</t>
  </si>
  <si>
    <t>19c52e22-1c19-469a-b5ec-09416f666f15</t>
  </si>
  <si>
    <t>aef2dd05-aa86-46cc-bd71-d361caccd8bc</t>
  </si>
  <si>
    <t>06b050b7-dda2-4a45-a8a2-a5d4559f3857</t>
  </si>
  <si>
    <t>08bba41a-5299-4c2d-82bd-3b1f1b3899f0</t>
  </si>
  <si>
    <t>6230709a-8c18-41c8-af9e-ab5a4ed1f714</t>
  </si>
  <si>
    <t>608a3fd2-4d3c-4077-9525-380da3b0c0c0</t>
  </si>
  <si>
    <t>347dc22d-50a9-4ca5-a9c3-99f65e278e36</t>
  </si>
  <si>
    <t>eec7c5a3-54ef-48a2-b774-9c9189180a93</t>
  </si>
  <si>
    <t>38b4060c-2084-4f51-96e9-4a839880f134</t>
  </si>
  <si>
    <t>e3e34366-e469-45ec-9e24-a54daf760230</t>
  </si>
  <si>
    <t>78621a7f-2cef-4f64-afa8-cda1416ec1ff</t>
  </si>
  <si>
    <t>3050afba-5146-443c-a512-d262db7a669e</t>
  </si>
  <si>
    <t>93c47547-6b19-4c49-8cc7-03ee48a0ea64</t>
  </si>
  <si>
    <t>755f743e-e564-423c-9923-d3115a007167</t>
  </si>
  <si>
    <t>686b4ca3-8f35-4e9d-b8a2-55c5e08f5743</t>
  </si>
  <si>
    <t>d2cf9c60-a563-49d1-9382-fcd66f70d6a1</t>
  </si>
  <si>
    <t>02fac534-2bc0-43c8-abe9-9dc4e8d50992</t>
  </si>
  <si>
    <t>41747cc2-b6ca-4067-b5d6-e08c027fb797</t>
  </si>
  <si>
    <t>ac23d7ce-361f-4cd3-b397-426e05fd200b</t>
  </si>
  <si>
    <t>1d6e0eab-4afc-4307-aae5-aa1284563c79</t>
  </si>
  <si>
    <t>5a8314f7-478d-4aa6-a33b-46199cc4f117</t>
  </si>
  <si>
    <t>524f5a3f-be16-4093-9601-530fa1ef17cf</t>
  </si>
  <si>
    <t>f2f666ab-fd66-43da-a606-d121feee548d</t>
  </si>
  <si>
    <t>97c7093c-eedc-4615-9b03-b49d68b641b2</t>
  </si>
  <si>
    <t>9f626264-6539-4817-b3ff-340eaf133ff8</t>
  </si>
  <si>
    <t>cad78003-833f-4d8e-8281-6afac1761987</t>
  </si>
  <si>
    <t>703797e2-c778-41ef-a45a-89b696e15656</t>
  </si>
  <si>
    <t>78600db9-9498-4d77-9421-764cd41aca7b</t>
  </si>
  <si>
    <t>7bcd8203-bad7-484d-931d-61bf1e15a9f8</t>
  </si>
  <si>
    <t>02f51393-b8ed-4c56-9b4e-6fa5747b674a</t>
  </si>
  <si>
    <t>555e93c8-8f2b-40ea-8360-7a262ba6d645</t>
  </si>
  <si>
    <t>0ed8dbdd-77be-4e02-80f7-2d9a610ad32f</t>
  </si>
  <si>
    <t>20c5a973-8557-4ddf-8b9d-cbd82e141b4c</t>
  </si>
  <si>
    <t>ada51011-6831-45f3-bdc3-dc4ebc939437</t>
  </si>
  <si>
    <t>bb72dcaf-58ea-4963-8757-85ad8adb2d7d</t>
  </si>
  <si>
    <t>6cfbdc8a-da2b-4bc7-b38a-b3be6526c356</t>
  </si>
  <si>
    <t>436482e0-ec88-4f58-9cbd-80f67915c98d</t>
  </si>
  <si>
    <t>315b67b9-1067-4ff0-b4c1-e73fa2431c94</t>
  </si>
  <si>
    <t>37333f22-8dd8-4288-967f-c5565c8255b5</t>
  </si>
  <si>
    <t>a0fddcb0-20d8-43c7-b399-1faa984a4f81</t>
  </si>
  <si>
    <t>9f3a3798-c258-4964-a698-f515c8e7db3e</t>
  </si>
  <si>
    <t>e6b29a43-5254-4bdb-8541-d919891ac3ec</t>
  </si>
  <si>
    <t>bc6be911-3b1e-49c0-ad6f-3940db1170f6</t>
  </si>
  <si>
    <t>3ab8684d-7848-4b08-bbc5-dfcc5d593c54</t>
  </si>
  <si>
    <t>78e91d37-4041-42f4-985f-088af4684009</t>
  </si>
  <si>
    <t>a9b682f5-b3ee-4de0-9c1f-d7b0adf328f0</t>
  </si>
  <si>
    <t>c23a9ccd-0d51-4ac3-9f99-c6f1dcf3ecbb</t>
  </si>
  <si>
    <t>d7390321-ce9a-4b5d-80f6-d27450377a6c</t>
  </si>
  <si>
    <t>4c6819b9-26f3-4f73-a052-1b71797118d5</t>
  </si>
  <si>
    <t>274afaac-ab8b-4458-95ec-cb1116c9ab88</t>
  </si>
  <si>
    <t>ee051166-f9ad-4d2e-a741-0de77dada154</t>
  </si>
  <si>
    <t>a52eabe3-053b-46e6-838e-8b4a99ffca5d</t>
  </si>
  <si>
    <t>9cd0c19a-23d9-4fc2-966e-b51ae3fe3723</t>
  </si>
  <si>
    <t>5d93ddf7-361a-4788-a9e5-6e300c7ac6c6</t>
  </si>
  <si>
    <t>cba7f8bb-1d74-4f27-9e0f-ad7aa1d21166</t>
  </si>
  <si>
    <t>e128d244-20b5-49ca-8f77-44778cf90c6c</t>
  </si>
  <si>
    <t>9897b07f-7354-450d-846e-c41f78c59589</t>
  </si>
  <si>
    <t>99c56ab5-6039-4ebc-b599-d95f7eb7bced</t>
  </si>
  <si>
    <t>4bdb8fd5-19ae-4661-92fa-61ac56730d51</t>
  </si>
  <si>
    <t>e03682c8-58d3-43e2-97cb-894c73f477c2</t>
  </si>
  <si>
    <t>51dbc27b-d297-4e06-8223-be5952c9b4f4</t>
  </si>
  <si>
    <t>3b26d293-7e56-4105-bf90-51e74f246850</t>
  </si>
  <si>
    <t>3cb9e4f9-5e89-44e4-87a1-022c77c0a3da</t>
  </si>
  <si>
    <t>bd9cfc89-21b8-45d7-b5ed-728806386c19</t>
  </si>
  <si>
    <t>08919c57-ef95-4cca-b77e-71d47706610b</t>
  </si>
  <si>
    <t>5dae4c73-6de1-46bd-a5e1-f91f449c88aa</t>
  </si>
  <si>
    <t>7a96a2b5-70b1-42a7-9961-ecd7ea74004d</t>
  </si>
  <si>
    <t>3ddfa8ed-f2a6-4aac-bb05-b374a0d48aca</t>
  </si>
  <si>
    <t>36d61550-9ec9-442b-bdff-df3c5eb04998</t>
  </si>
  <si>
    <t>7559ff80-9062-4ce6-83d5-348643f82749</t>
  </si>
  <si>
    <t>1f45851b-c152-49f2-9b7d-603156fb4740</t>
  </si>
  <si>
    <t>b1b62a36-584c-49a4-8b04-f9b6185607d0</t>
  </si>
  <si>
    <t>58c87b0b-c003-4e6e-9998-28eada0fcbc0</t>
  </si>
  <si>
    <t>f228f54b-290b-45e9-ac9a-3d454c857d4f</t>
  </si>
  <si>
    <t>1d9681f5-1408-4cf2-958f-176c63f0920c</t>
  </si>
  <si>
    <t>f0c20282-989c-449d-8db8-5ca10307f112</t>
  </si>
  <si>
    <t>3f3e0394-3205-43cc-a258-4956e730ea4e</t>
  </si>
  <si>
    <t>7717001e-14e5-4d7d-9a33-24af8b3dd1a7</t>
  </si>
  <si>
    <t>80d571c7-1e29-4e85-aa51-ad160a2e1074</t>
  </si>
  <si>
    <t>dc92f4e3-036d-45d7-aa40-e2b184a34101</t>
  </si>
  <si>
    <t>c8015b3e-df51-4970-8b4c-995872ff8a7a</t>
  </si>
  <si>
    <t>01597401-6cd1-406f-8114-e14f7e696011</t>
  </si>
  <si>
    <t>0d331876-51ea-4d8a-bbdf-67a7ab1acedb</t>
  </si>
  <si>
    <t>8fde82d0-7bc4-4f0d-9fe8-0510b9e0cf2a</t>
  </si>
  <si>
    <t>0e404864-1868-4cc5-94bd-fbe7bed6659f</t>
  </si>
  <si>
    <t>91ab2e24-9197-471e-aacd-0530a54a085b</t>
  </si>
  <si>
    <t>2e48f08a-4cd3-4bba-834e-1db744a8794f</t>
  </si>
  <si>
    <t>51e97bc6-adf1-476c-8a89-b88ac156d8b9</t>
  </si>
  <si>
    <t>fbb5003e-9391-420f-9960-71c80e6b2e6d</t>
  </si>
  <si>
    <t>00a4a8bf-6bfd-4c8a-983f-360c3323fe16</t>
  </si>
  <si>
    <t>fe931138-2743-470a-a0bd-795a753e559b</t>
  </si>
  <si>
    <t>2f9e7764-8496-4dd4-a150-ce5e29262c10</t>
  </si>
  <si>
    <t>dd725093-1ef1-4e37-85a7-ec7afde3e746</t>
  </si>
  <si>
    <t>4acd663e-bbb4-47bf-b560-827db892524e</t>
  </si>
  <si>
    <t>aeee6d62-5d64-403b-a480-7044ccdd136d</t>
  </si>
  <si>
    <t>05061ea6-f2f0-4d8c-a2ff-d108984f4cff</t>
  </si>
  <si>
    <t>51a5dc02-aba3-4f7f-a143-dd1c3a837abf</t>
  </si>
  <si>
    <t>fce6ab30-46aa-4d0d-87f7-adb0ab28a4b2</t>
  </si>
  <si>
    <t>e2059229-4675-4e8f-84e0-7c9eb5eb661e</t>
  </si>
  <si>
    <t>revisão carro</t>
  </si>
  <si>
    <t>6a66c4eb-b210-41b3-bc36-d8db5d559ad4</t>
  </si>
  <si>
    <t>almoço</t>
  </si>
  <si>
    <t>e179cefb-b21e-42d6-89f9-e2036c634a42</t>
  </si>
  <si>
    <t>farmácia</t>
  </si>
  <si>
    <t>531d5f20-2c32-4fb8-bcbd-cca6b5c401bd</t>
  </si>
  <si>
    <t>lanche subway avós</t>
  </si>
  <si>
    <t>45dafa09-635e-4202-b223-be5493294ae8</t>
  </si>
  <si>
    <t>lanche serviço</t>
  </si>
  <si>
    <t>92822d01-d1e3-4c22-b9e3-cd9357b624e5</t>
  </si>
  <si>
    <t>almoço gabi</t>
  </si>
  <si>
    <t>ae96bf21-f900-403b-8747-c7f078c218a3</t>
  </si>
  <si>
    <t>sobremesa gabi</t>
  </si>
  <si>
    <t>0084d33a-7600-4451-b349-82b197624f9d</t>
  </si>
  <si>
    <t>lanche pós culto</t>
  </si>
  <si>
    <t>fc1af8d9-79ea-4da4-9135-2f058ce5982e</t>
  </si>
  <si>
    <t>d7e425b0-4564-48d5-bc8c-d6f65adb13e5</t>
  </si>
  <si>
    <t>e883b2de-1d07-4013-8459-fa8a2a927ff5</t>
  </si>
  <si>
    <t>ovo</t>
  </si>
  <si>
    <t>d7db0af8-69a3-4d22-812a-155d921b5a97</t>
  </si>
  <si>
    <t>lanche subway murilo</t>
  </si>
  <si>
    <t>07d9c843-829c-47ee-b4c5-880493bfa912</t>
  </si>
  <si>
    <t>5d97258c-7abf-4b39-ab45-eb0e59305209</t>
  </si>
  <si>
    <t>compras avós</t>
  </si>
  <si>
    <t>d7d15243-e43a-4453-87d2-113812ef0532</t>
  </si>
  <si>
    <t>plano qc</t>
  </si>
  <si>
    <t>685ff265-b028-4ba5-aae2-cd7b0fb82a08</t>
  </si>
  <si>
    <t>celular</t>
  </si>
  <si>
    <t>4b06a470-7b8e-4baf-9ccd-9ef13935f234</t>
  </si>
  <si>
    <t>seguro</t>
  </si>
  <si>
    <t>1bf55abb-8ede-49bc-a7ad-d08b33bb4537</t>
  </si>
  <si>
    <t>carro</t>
  </si>
  <si>
    <t>c352a022-4e81-446b-9b7c-924ae4e79886</t>
  </si>
  <si>
    <t>dízimo</t>
  </si>
  <si>
    <t>755fc2a9-b01b-498e-b095-43d8fef9745d</t>
  </si>
  <si>
    <t>grêmio</t>
  </si>
  <si>
    <t>cc686659-e6d3-4f34-80d2-825addfd306d</t>
  </si>
  <si>
    <t>ipva</t>
  </si>
  <si>
    <t>cd15cc86-49dc-4c43-a762-cb1cfbb10f8c</t>
  </si>
  <si>
    <t>casamento</t>
  </si>
  <si>
    <t>d2224915-37a3-4252-8255-8a726ce4bfd5</t>
  </si>
  <si>
    <t>formatura</t>
  </si>
  <si>
    <t>dd69c1cb-f2c1-4267-981a-c10d7e8ad00b</t>
  </si>
  <si>
    <t>din din</t>
  </si>
  <si>
    <t>267e8e85-1e0c-4590-aad1-14879cbd864c</t>
  </si>
  <si>
    <t xml:space="preserve">almoço </t>
  </si>
  <si>
    <t>259db16a-b6bc-492b-9177-1aa300c642d6</t>
  </si>
  <si>
    <t xml:space="preserve">jantar do serviço de sábado </t>
  </si>
  <si>
    <t>f88fca8c-c5fb-457f-8f39-b4066ea1c61e</t>
  </si>
  <si>
    <t>impressão tco</t>
  </si>
  <si>
    <t>e9313d3c-e918-4f30-8aaa-8f1f3905fe05</t>
  </si>
  <si>
    <t>caldo maumau</t>
  </si>
  <si>
    <t>0066d352-0f85-4991-bbd2-9e13ae3aff19</t>
  </si>
  <si>
    <t>gasolina(pix)</t>
  </si>
  <si>
    <t>187a47d0-1068-48c3-a189-d8a44cbcfd51</t>
  </si>
  <si>
    <t>pão para os lanches</t>
  </si>
  <si>
    <t>5b14a6c6-83e9-46f5-9db7-7248f43b26e3</t>
  </si>
  <si>
    <t>carne p/ chácara</t>
  </si>
  <si>
    <t>a287f22f-eb1d-4131-8595-3f7afdeed7cc</t>
  </si>
  <si>
    <t>band-aid; tia</t>
  </si>
  <si>
    <t>03c7de4f-aafb-4de8-8a82-4b9844c0dc79</t>
  </si>
  <si>
    <t xml:space="preserve">almoço no serviço </t>
  </si>
  <si>
    <t>e44f112c-4bc2-49cf-a856-4882603ecb30</t>
  </si>
  <si>
    <t>jantar com gabi</t>
  </si>
  <si>
    <t>99e71aff-cf33-4ff0-98a8-135be386bf62</t>
  </si>
  <si>
    <t>78db9da0-3b83-4d97-a7e3-d4312a5f782c</t>
  </si>
  <si>
    <t>c6ae1ed6-a695-44a0-b94b-da6440d9fe64</t>
  </si>
  <si>
    <t>uber avô</t>
  </si>
  <si>
    <t>24d0d9c8-f4a6-48f1-ae6b-3c088c211503</t>
  </si>
  <si>
    <t>h2o almoço</t>
  </si>
  <si>
    <t>540d55ff-f631-49e7-9563-f25d2fc32c9f</t>
  </si>
  <si>
    <t>167a1611-005b-42fb-b552-253551424b45</t>
  </si>
  <si>
    <t xml:space="preserve">combustível </t>
  </si>
  <si>
    <t>9c8cebc9-7fab-4e26-afa8-b83fecb9bbf0</t>
  </si>
  <si>
    <t>plano claro</t>
  </si>
  <si>
    <t>378d3246-4eac-485e-a487-5d207f1fe935</t>
  </si>
  <si>
    <t>reserva</t>
  </si>
  <si>
    <t>c0fe17f9-aee9-4470-83c6-1184affd41f2</t>
  </si>
  <si>
    <t>1b411468-b5c9-408b-9e30-a8d2d670b678</t>
  </si>
  <si>
    <t>c127c49c-8077-4157-a5cd-042755872eaa</t>
  </si>
  <si>
    <t>04a9a214-8345-41c6-880e-3112dc270001</t>
  </si>
  <si>
    <t>e2fa5b4e-18d5-4b4e-bdab-89147eeb1dc5</t>
  </si>
  <si>
    <t>3f46ed0a-1d34-473d-be04-7b4ca5febc8d</t>
  </si>
  <si>
    <t>f77db2c2-0557-4936-83df-2c4a543cb917</t>
  </si>
  <si>
    <t>bc2cb344-0912-4174-acca-b1a9c58b1a61</t>
  </si>
  <si>
    <t>e26e5f50-ee36-421c-8b94-c17dfa5b8d07</t>
  </si>
  <si>
    <t>c6c09571-6e0a-4dc6-b7fc-f0367e224534</t>
  </si>
  <si>
    <t>c5a3ea4a-b56f-4e37-90d7-a721c47dc6ad</t>
  </si>
  <si>
    <t>ca5b28ab-2c50-4a88-8c1f-d518e1e17d9e</t>
  </si>
  <si>
    <t>ac54af3f-1f8d-48f0-8029-764df6356eb8</t>
  </si>
  <si>
    <t>ee7325f5-d161-49fc-b93b-8898f9abcd92</t>
  </si>
  <si>
    <t>f63b9533-2e76-4daf-bd43-82dd6e35969e</t>
  </si>
  <si>
    <t>e284f6e0-17f5-40cf-ae48-f4e3993d9ca5</t>
  </si>
  <si>
    <t>11810d0d-0306-42bb-8f4f-93367f6a3b6f</t>
  </si>
  <si>
    <t>c3f6d488-67c9-4433-b490-e6ac009f5f6c</t>
  </si>
  <si>
    <t>1898a670-3cf9-443e-af57-8859be183e72</t>
  </si>
  <si>
    <t>4570d177-3260-4c49-8ef4-a7e59bd44513</t>
  </si>
  <si>
    <t>9a47251d-afcc-4422-a630-03b3caeae27c</t>
  </si>
  <si>
    <t>3c722536-bdf4-4623-b7f3-32f2acede515</t>
  </si>
  <si>
    <t>e4204e67-44a2-4b01-bd69-6349a549a452</t>
  </si>
  <si>
    <t>a6281297-ab35-48aa-ae82-ce55ebdc5912</t>
  </si>
  <si>
    <t>263bd103-a5d5-41af-9eb4-348470223d21</t>
  </si>
  <si>
    <t>8efc2b67-dd1c-46ed-bc08-62a838a8a111</t>
  </si>
  <si>
    <t>fc4946a6-a608-4774-9639-27073b04e1ac</t>
  </si>
  <si>
    <t>c122e3a9-1f3a-4532-a52e-c096e1115a4e</t>
  </si>
  <si>
    <t>61fb9343-15e5-455c-a6a6-e322f80fcd17</t>
  </si>
  <si>
    <t>ec9eb5d7-59ee-42fd-bde9-022ac2d4107e</t>
  </si>
  <si>
    <t>e17fe9fe-6b2b-4712-89a2-b2ded7921593</t>
  </si>
  <si>
    <t>151897ed-c175-4310-a274-4593d8d5ecab</t>
  </si>
  <si>
    <t>1a15b936-e3f6-49e8-a607-254f950f0584</t>
  </si>
  <si>
    <t>83b93113-8e7f-447e-95d9-f7be51f02adf</t>
  </si>
  <si>
    <t>de7d4233-354b-43f4-9f11-94ad3df8f958</t>
  </si>
  <si>
    <t>32a15779-968b-431d-bbcf-dd8c61a6c37d</t>
  </si>
  <si>
    <t>28572384-e69b-4b62-8e85-4d8677cc65bf</t>
  </si>
  <si>
    <t>100f3e7a-49dc-4685-9967-603ce8adace2</t>
  </si>
  <si>
    <t>ae00db5e-ccab-4e59-96b8-68b3ab7a8161</t>
  </si>
  <si>
    <t>c0c4133f-e87d-47a8-93c7-62a62abfce35</t>
  </si>
  <si>
    <t>e3155684-be54-4d02-a824-46b747188508</t>
  </si>
  <si>
    <t>0d0eada0-fe30-46c5-9240-5ac09715f36b</t>
  </si>
  <si>
    <t>6680c66c-6b55-4bb6-bd38-ba4a1f4309cb</t>
  </si>
  <si>
    <t>37a56925-e973-4ff6-84d4-44ed4c489a97</t>
  </si>
  <si>
    <t>74d4a10f-3526-4dfa-ac5e-02cd14a098de</t>
  </si>
  <si>
    <t>45a3bca4-28b5-42fa-a6fa-2e2c097e8114</t>
  </si>
  <si>
    <t>f7de0071-5875-4054-9938-fbab3ad7bb76</t>
  </si>
  <si>
    <t>9d0db874-05ec-475d-be21-82dd27d80d5d</t>
  </si>
  <si>
    <t>29a74cf5-68ab-4422-937b-8c65fd623a73</t>
  </si>
  <si>
    <t>9b09c6c8-7cc5-4a04-ac6e-b6f739917973</t>
  </si>
  <si>
    <t>66f6374c-67e1-4c98-9d32-7c9bb24ae6f9</t>
  </si>
  <si>
    <t>c4f3ac28-1bbc-4bb1-9d47-a858183823fc</t>
  </si>
  <si>
    <t>b2167e4d-4f7b-4164-ad8a-8d5469e501d6</t>
  </si>
  <si>
    <t>993b2fd2-62d1-47f3-99ec-4ba87af98bb9</t>
  </si>
  <si>
    <t>bdc86593-3ae2-4935-a44b-4c8def51510e</t>
  </si>
  <si>
    <t>15098aee-31cf-4617-9b09-03e3ba558eeb</t>
  </si>
  <si>
    <t>3e3d0706-391d-442b-8a48-778876d53273</t>
  </si>
  <si>
    <t>9cfc39b0-ad82-4630-a2a0-05a919e8f31d</t>
  </si>
  <si>
    <t>5300f581-71d3-4834-a14a-18337cef4d98</t>
  </si>
  <si>
    <t>e25273f1-982a-4679-b9dd-a3211026f727</t>
  </si>
  <si>
    <t>25162f74-2040-4d45-81ca-3f59e8e48f70</t>
  </si>
  <si>
    <t>40cf96de-9594-4b11-bcb3-438b13b77492</t>
  </si>
  <si>
    <t>2d8a37a3-14f7-4156-83b0-81819cfb1796</t>
  </si>
  <si>
    <t>c0116120-a404-4f10-bbde-45e17e6ff86b</t>
  </si>
  <si>
    <t>bef40aea-c280-45be-91ee-f293a6d4729f</t>
  </si>
  <si>
    <t>e8e613c2-e5dd-4e55-8474-b509ef7e83fd</t>
  </si>
  <si>
    <t>2db3caac-25a2-40c5-9c59-5e48f3f5655f</t>
  </si>
  <si>
    <t>8ed95073-82f6-4dee-a877-fd033c759e17</t>
  </si>
  <si>
    <t>5a3a549b-a62f-4dd7-9f98-596cc4d1e189</t>
  </si>
  <si>
    <t>e16238a6-e0e5-4683-b9e9-b02a21e89371</t>
  </si>
  <si>
    <t>8a889498-d524-451b-837b-ea23f25545cc</t>
  </si>
  <si>
    <t>f2b0ea56-cbd4-4742-9173-3f9a9f3c869b</t>
  </si>
  <si>
    <t>4f8c1911-af30-463a-b089-d22b5798ba13</t>
  </si>
  <si>
    <t>ab7fa04e-872c-49c2-84ec-590cf46156ab</t>
  </si>
  <si>
    <t>4d1eb049-87d9-45cb-ad79-b2acdf4b32b1</t>
  </si>
  <si>
    <t>d0772e39-f82a-4d29-a99b-51bf31007630</t>
  </si>
  <si>
    <t>b8d2873e-995f-4a4f-b13b-af82db1a9dd5</t>
  </si>
  <si>
    <t>000e0586-82f8-4da8-89fe-a4a44236bb47</t>
  </si>
  <si>
    <t>214b09ee-12f6-4824-97ca-c3f907960218</t>
  </si>
  <si>
    <t>24562f9e-62b9-4b1e-bf13-4568c1759aab</t>
  </si>
  <si>
    <t>c62ad152-2a36-43f8-8cab-5d1bf006ec03</t>
  </si>
  <si>
    <t>e5c1b2b2-f440-428f-bf54-1ceea5c9e674</t>
  </si>
  <si>
    <t>4f18247a-1069-4413-a36a-7695bb4d00a5</t>
  </si>
  <si>
    <t>b14fa54f-778e-4a5a-b61e-13f008558fff</t>
  </si>
  <si>
    <t>c5fc8c64-b85c-452e-8193-6774ab2777d8</t>
  </si>
  <si>
    <t>deb8ff2c-f0b6-407d-804d-f619559beb9c</t>
  </si>
  <si>
    <t>3f4effbc-338f-46b4-a923-cf7a4814a81c</t>
  </si>
  <si>
    <t>16651cc0-2e5f-4122-9977-0b83b3d7cb3a</t>
  </si>
  <si>
    <t>d746d8c5-48c6-42a3-88d8-9d50b07e3297</t>
  </si>
  <si>
    <t>1dcacd1b-d328-4ed2-acdf-2ef7df38a738</t>
  </si>
  <si>
    <t>2e195f50-1d90-4099-837a-42e24c5b3135</t>
  </si>
  <si>
    <t>7db16458-5541-4efa-bcab-5374ad51f331</t>
  </si>
  <si>
    <t>8efc459a-970b-4b9c-974b-d7757cf922cb</t>
  </si>
  <si>
    <t>925d05a3-760b-465c-9163-4fc97816ad5e</t>
  </si>
  <si>
    <t>00dd4689-ba92-4421-ba80-26e1c55a1cf8</t>
  </si>
  <si>
    <t>27b46779-1c34-41b1-b3b3-42cc37235fdd</t>
  </si>
  <si>
    <t>fcfac7bc-29ae-41f1-b83c-5fe95baf224c</t>
  </si>
  <si>
    <t>8f6f9b88-22bf-43d0-b5b5-af95b68f3cf2</t>
  </si>
  <si>
    <t>6cf95337-bb05-4a82-8af6-908847cf637b</t>
  </si>
  <si>
    <t>5fd7c250-72b6-4154-81b5-00a3b1ba2868</t>
  </si>
  <si>
    <t>5540cb1d-8560-4778-92ba-a2877693922d</t>
  </si>
  <si>
    <t>9860da61-658d-435a-84a8-9bbb49af0a98</t>
  </si>
  <si>
    <t>366c9333-2609-409c-ba7a-c026263ad4de</t>
  </si>
  <si>
    <t>5091fe7a-eaa2-4a33-a7cf-290ee678481e</t>
  </si>
  <si>
    <t>58b14096-0bc0-42eb-a72e-85d0d4fcf36b</t>
  </si>
  <si>
    <t>372e882b-8ebf-4fef-b2f0-b9e094724ea1</t>
  </si>
  <si>
    <t>3c78725e-610c-431b-a74f-722406ecb9ed</t>
  </si>
  <si>
    <t>5150f9b0-3de3-4309-93ca-87934e9b8a00</t>
  </si>
  <si>
    <t>bc504b98-f9ab-4289-90e6-d21d2a9d0706</t>
  </si>
  <si>
    <t>c6b28a45-60c1-43b0-8971-2ca3a9b17e1a</t>
  </si>
  <si>
    <t>ce95760a-54d4-477e-8cd6-e4236f3ff3e0</t>
  </si>
  <si>
    <t>da7829e4-eeff-4da7-8121-6f30859479c5</t>
  </si>
  <si>
    <t>98799bcf-619b-4186-a4a0-7dc16dc387bb</t>
  </si>
  <si>
    <t>3ece9a4c-40db-4370-a4f8-980f2b4a9af0</t>
  </si>
  <si>
    <t>d9f02668-7cc8-42c0-97dc-4842e211deae</t>
  </si>
  <si>
    <t>e1ee7a69-d598-4c48-8fea-3cc6586a30aa</t>
  </si>
  <si>
    <t>2225e0c7-b960-43ba-aa3d-536b190ef075</t>
  </si>
  <si>
    <t>9b0b5816-f868-49a2-a1e9-eb3406c34e2d</t>
  </si>
  <si>
    <t>1413146f-7eb8-4275-a31e-0bd28a2ff32d</t>
  </si>
  <si>
    <t>b07830e9-e621-4e6e-b89c-73641e9064ed</t>
  </si>
  <si>
    <t>094e7776-b634-4323-acfd-e68b6b1c08b7</t>
  </si>
  <si>
    <t>eb37038e-a5f5-4cc1-b9c4-5512e86fe4f3</t>
  </si>
  <si>
    <t>08fd856d-7740-41fa-a02c-97cf4f25bdb6</t>
  </si>
  <si>
    <t>73fe0f1f-fca7-45d5-949a-cf9ec003d3af</t>
  </si>
  <si>
    <t>a119e6bc-c690-450b-afd2-b70ffcfabd90</t>
  </si>
  <si>
    <t>9cba6b90-c1a3-4ce0-98ff-3148d35f0078</t>
  </si>
  <si>
    <t>f1b481f8-3f22-42e3-9cc3-9a59b08972bb</t>
  </si>
  <si>
    <t>ae86657b-b9d2-4706-8934-99a5fee8af57</t>
  </si>
  <si>
    <t>eccb4749-0c0a-4e41-914d-fef16f7cf831</t>
  </si>
  <si>
    <t>1fd72c97-ac7d-49be-914e-a4abf9aaa49c</t>
  </si>
  <si>
    <t>c11d7271-95bd-4ef9-be68-a232cc64ca75</t>
  </si>
  <si>
    <t>31d53b62-3d56-4664-8114-52ebe2fdd512</t>
  </si>
  <si>
    <t>3c22928e-17e2-42c5-9863-8a863b494f75</t>
  </si>
  <si>
    <t>bdc0ff67-a37d-4a5c-a7ce-87e1772d1887</t>
  </si>
  <si>
    <t>ef3533d8-b9b3-43d6-9d5f-fddb6f27223b</t>
  </si>
  <si>
    <t>ddbf64a9-4ad9-497f-bf4a-9dbdf91f03d1</t>
  </si>
  <si>
    <t>8855805f-0fad-48b8-937d-e51f403a671d</t>
  </si>
  <si>
    <t>3c8ff5cc-18d2-45e8-95ed-acedb76b3306</t>
  </si>
  <si>
    <t>037e6751-3209-461c-ac12-57394fd59731</t>
  </si>
  <si>
    <t>3508db42-9882-464b-9f31-48de9beb2347</t>
  </si>
  <si>
    <t>ae6a41b2-f2ba-4f15-bf0a-e2e686721a42</t>
  </si>
  <si>
    <t>6dbd1266-705d-4149-b59e-cee2cd262b32</t>
  </si>
  <si>
    <t>34423a7c-6821-44de-9ff3-aca708279f92</t>
  </si>
  <si>
    <t>919863ce-38c6-4dc6-9bf4-8cea4c16f6ed</t>
  </si>
  <si>
    <t>c83533a0-d257-428c-b9d1-6ab4284eb15f</t>
  </si>
  <si>
    <t>e0c88e03-1945-4249-81b1-03ecce6a1976</t>
  </si>
  <si>
    <t>d9601e69-477e-4082-ad7b-e73db8ed3e35</t>
  </si>
  <si>
    <t>b308bfbb-1384-4a74-88a6-723aaff3370d</t>
  </si>
  <si>
    <t>5d8ab800-538d-4176-9200-d8a0934dcf34</t>
  </si>
  <si>
    <t>bfb4ed23-29dd-42d4-9da4-7c48fb2b1c14</t>
  </si>
  <si>
    <t>2c536455-dd7f-4509-a789-2d3e3c33d6cb</t>
  </si>
  <si>
    <t>5e6487b2-aa11-4b64-8335-42306493fbc6</t>
  </si>
  <si>
    <t>496a88dd-82ac-4ff8-b4eb-720d58d9a14c</t>
  </si>
  <si>
    <t>acd58c72-2fb0-42fe-8880-19cbf84c51b2</t>
  </si>
  <si>
    <t>5246b8d4-c2cf-479d-af78-44482f5e9571</t>
  </si>
  <si>
    <t>96465565-d58e-46e5-9504-64d48eacac91</t>
  </si>
  <si>
    <t>0fc1b36c-99b4-42a5-b7b4-880ec2b78874</t>
  </si>
  <si>
    <t>514f7bd0-0fad-49b7-abfc-57aab49c37ba</t>
  </si>
  <si>
    <t>92b8efae-907d-4e0f-ba01-3a650776254a</t>
  </si>
  <si>
    <t>dff5b049-4cb6-4d13-a98e-0f1bcb257a4a</t>
  </si>
  <si>
    <t>b4b70389-9775-41c9-a80a-52215d10ecd3</t>
  </si>
  <si>
    <t>7ff6a7d0-940a-40bf-a6b1-cd200cffcfcf</t>
  </si>
  <si>
    <t>00db27ed-0a75-44ab-a702-a2ddcc6e2ec6</t>
  </si>
  <si>
    <t>b1b2d6af-035e-422d-93ae-17fb71734f50</t>
  </si>
  <si>
    <t>41aa2eee-3cf5-4fdb-9767-f9db158612c4</t>
  </si>
  <si>
    <t>1472e627-b535-4b44-8575-f5ad37df42ea</t>
  </si>
  <si>
    <t>e1ace9cc-e330-45de-9adb-5413b6ccd737</t>
  </si>
  <si>
    <t>50cd220d-db5c-4910-bcd2-19ee86076b41</t>
  </si>
  <si>
    <t>7480624b-cf2b-4cca-8416-a12eb92d32c5</t>
  </si>
  <si>
    <t>83599795-55fe-4ed8-9ce9-a9d34aa2e0e0</t>
  </si>
  <si>
    <t>f1246007-736c-41c2-a9e4-655ba6f4846a</t>
  </si>
  <si>
    <t>b92879d5-6692-4710-a20d-4b8531458268</t>
  </si>
  <si>
    <t>de5cbc29-5c19-494e-baf7-3e40aa20dfa6</t>
  </si>
  <si>
    <t>234645d4-4227-427e-a9fc-090fe0ee5a8c</t>
  </si>
  <si>
    <t>dbc50805-09bb-472d-b8cc-87f63251b95e</t>
  </si>
  <si>
    <t>a273740e-13bf-449f-9db0-a5a21ce25af2</t>
  </si>
  <si>
    <t>ce2fb7df-f277-49e2-8c9f-b804e81392e1</t>
  </si>
  <si>
    <t>e31d35cc-a462-4933-8f79-efae7e0f2c34</t>
  </si>
  <si>
    <t>a20fd8e5-7aff-44a5-8906-ab6c66c7eb28</t>
  </si>
  <si>
    <t>15839778-9766-47d1-a927-da81edc6e692</t>
  </si>
  <si>
    <t>915e8939-d1c8-4a29-a1f3-2e380075f84d</t>
  </si>
  <si>
    <t>8069ef98-7cd5-422f-8ac7-f1ff4f434817</t>
  </si>
  <si>
    <t>9049429b-7a43-4738-a64d-4298d39b71ba</t>
  </si>
  <si>
    <t>1212cbf8-fc58-4b95-8983-a88c2e18fd89</t>
  </si>
  <si>
    <t>c47a15bc-3d91-4d49-b8c2-6cb9b7986ff3</t>
  </si>
  <si>
    <t>bb141571-c4c9-4ca4-b70e-19d2f9890ae6</t>
  </si>
  <si>
    <t>ceac1a8e-23fb-4de6-bf1b-a98818457b54</t>
  </si>
  <si>
    <t>afb58793-e03e-46e4-bd17-5a0e989cad43</t>
  </si>
  <si>
    <t>d3be2ab5-9b44-4e1b-a3e2-a17673748b3b</t>
  </si>
  <si>
    <t>d8c3f421-7ccb-4e2a-8c83-209b77b93cb7</t>
  </si>
  <si>
    <t>4de545c1-2bf1-42eb-8b05-a24225a1593c</t>
  </si>
  <si>
    <t>97bdcd35-4ad1-4d42-9cd0-c289574b8de9</t>
  </si>
  <si>
    <t>6a49ff87-af44-408b-9af7-e798518ed31c</t>
  </si>
  <si>
    <t>580bc502-3908-4225-a81c-bd5e26d392c6</t>
  </si>
  <si>
    <t>893fb4ef-183d-49f3-8b71-ef1e6a244aa0</t>
  </si>
  <si>
    <t>e4ffded3-5f18-4611-a591-e586fb8b3653</t>
  </si>
  <si>
    <t>c8e71f64-803b-47ba-b8f9-33155d2d7ab6</t>
  </si>
  <si>
    <t>020d50f4-4adc-434e-b740-1aaa396a78f3</t>
  </si>
  <si>
    <t>5ad7c52e-cb1e-43ff-b763-e5ff38461477</t>
  </si>
  <si>
    <t>fe3ac98c-60c5-4b49-8508-b26b1b4cf1c0</t>
  </si>
  <si>
    <t>015735f1-4ea7-4ea0-b10e-b140dcf4e0e9</t>
  </si>
  <si>
    <t>be51bc1a-5488-4059-8fe7-f8e886beef51</t>
  </si>
  <si>
    <t>2ab4acba-bf34-415d-99f2-c8bcbc07d002</t>
  </si>
  <si>
    <t>7d08d130-1764-4e1c-9df1-e660f7a0f1f6</t>
  </si>
  <si>
    <t>be4a8263-72b8-4fcf-875a-f7aa4f8b810e</t>
  </si>
  <si>
    <t>cd433182-1035-4401-ba1f-b55801d8f83f</t>
  </si>
  <si>
    <t>529019d5-4ee4-4d79-87b0-938e246b4455</t>
  </si>
  <si>
    <t>858c0d96-774e-4af4-ba17-cbf6d86ae202</t>
  </si>
  <si>
    <t>f4eaafaa-9f18-4207-857d-d58bb7a6dfbc</t>
  </si>
  <si>
    <t>f3bb1a9a-fde2-4b2b-a7e8-3587d747288e</t>
  </si>
  <si>
    <t>394033a2-75a9-43f5-bd14-3ee11b2e2ad3</t>
  </si>
  <si>
    <t>b1943dcc-8dd9-4ba5-ae63-d33ed63529aa</t>
  </si>
  <si>
    <t>9dc90b05-a7b1-41c3-90c8-86f44ceb49f5</t>
  </si>
  <si>
    <t>48a6827c-fa23-4277-9cab-10d00651788e</t>
  </si>
  <si>
    <t>c5d979d7-da21-4de5-97a0-2cdb346f3dce</t>
  </si>
  <si>
    <t>c40befaf-7416-422f-901c-c51677020f79</t>
  </si>
  <si>
    <t>d5fe8db5-c901-4f24-a0bc-03b9621d867d</t>
  </si>
  <si>
    <t>bc66c8d7-b127-42be-a6d0-04573265f32f</t>
  </si>
  <si>
    <t>7df18c98-b995-4bb2-9be0-ffa058003255</t>
  </si>
  <si>
    <t>64a9f893-a5cb-4e19-a043-f1b2b4253c7d</t>
  </si>
  <si>
    <t>92786e30-d61f-4a10-881f-37d431907e44</t>
  </si>
  <si>
    <t>8f179b46-234a-4ec5-ab11-5983ba999e6f</t>
  </si>
  <si>
    <t>71a73fb9-f971-4d63-b6c2-9920529072ea</t>
  </si>
  <si>
    <t>dc1776fb-e6d9-4428-b8aa-affe1fb86869</t>
  </si>
  <si>
    <t>f053d9c4-7dbe-424a-a9c1-93636226aafb</t>
  </si>
  <si>
    <t>847e5538-fdb3-4be0-9810-e46348b5c6fa</t>
  </si>
  <si>
    <t>59c8b1fa-f873-4a71-a1b6-c28328c56464</t>
  </si>
  <si>
    <t>cfde92c9-9079-423d-a06b-c164f442ca34</t>
  </si>
  <si>
    <t>37d12646-092b-427b-bca7-72bdb537e73a</t>
  </si>
  <si>
    <t>7b0dbbf8-3d4c-4084-b7a5-d93aba04d2dd</t>
  </si>
  <si>
    <t>8b84d3e4-29c7-4522-bcca-108fe2019b18</t>
  </si>
  <si>
    <t>7a40838a-115b-4eda-a856-4d0e55420401</t>
  </si>
  <si>
    <t>6df90b16-fba1-40e5-8d9f-975c3255c2a3</t>
  </si>
  <si>
    <t>a6011d15-553d-4ea4-93c3-9c6d6d9a8cf2</t>
  </si>
  <si>
    <t>3fdeda47-0947-4b8d-83d9-4f463f5fd1c4</t>
  </si>
  <si>
    <t>4ce734fb-1eae-4971-8237-88e358e63843</t>
  </si>
  <si>
    <t>de15b5e0-4dfe-43b6-8693-a3d12840af44</t>
  </si>
  <si>
    <t>f0661092-b5c1-4e4f-84d7-e9e1217c59c9</t>
  </si>
  <si>
    <t>ab481dce-eb82-4b3c-96a0-496a2cd720f3</t>
  </si>
  <si>
    <t>373fe6a3-4214-4655-92cc-c5c9eb2dda66</t>
  </si>
  <si>
    <t>9f4e2162-42b8-4c68-9814-ed92fd01862f</t>
  </si>
  <si>
    <t>6235d31d-35fc-45b1-b4f7-26de756b3c84</t>
  </si>
  <si>
    <t>f0e77abb-a41b-474d-af61-893d5d774491</t>
  </si>
  <si>
    <t>e950a628-c819-4d15-9f28-e3c8541d8206</t>
  </si>
  <si>
    <t>05846a21-eadc-44d3-9d16-c66c70740484</t>
  </si>
  <si>
    <t>ff61d311-5587-4442-97dd-f4e6f4be8c4e</t>
  </si>
  <si>
    <t>33a742db-ccba-49a1-b227-a91c2fe6ec6e</t>
  </si>
  <si>
    <t>4208cd1b-4a58-4f61-93c1-3f791d2e3a61</t>
  </si>
  <si>
    <t>263da154-7c6e-498a-9ef6-99d6056efa93</t>
  </si>
  <si>
    <t>363f303b-5494-4447-9fee-4994c38c1349</t>
  </si>
  <si>
    <t>bde25be0-85f6-4c4f-8fb3-fa77ac496f2c</t>
  </si>
  <si>
    <t>49d1bfe9-0438-4c71-a2ca-19fbc3f2fb86</t>
  </si>
  <si>
    <t>f2d770bc-0c5f-4725-a117-56da526410ce</t>
  </si>
  <si>
    <t>70ed2d8f-188e-4bec-a01c-c1a9a26d4ed2</t>
  </si>
  <si>
    <t>48198815-490a-4fba-9da4-764ab269679d</t>
  </si>
  <si>
    <t>9226e471-ff72-4a87-b73e-c7ddf4e4b924</t>
  </si>
  <si>
    <t>74897748-5c04-4f07-b648-f536343946c5</t>
  </si>
  <si>
    <t>05330aed-ce6a-49e6-a627-fe83996d2541</t>
  </si>
  <si>
    <t>8deb5b29-5d76-40f4-8553-465433fdb3f6</t>
  </si>
  <si>
    <t>9b4516a2-fd83-4e92-aa1b-254f0a61de10</t>
  </si>
  <si>
    <t>99cdbfa0-0855-4bd7-98af-861753accdf2</t>
  </si>
  <si>
    <t>4cc88322-a366-47ba-ba11-8484d997b5ce</t>
  </si>
  <si>
    <t>0254fe54-73b8-4ea2-9c41-590eb8c4a8eb</t>
  </si>
  <si>
    <t>a649cd17-84a8-4874-84e9-80900a790d06</t>
  </si>
  <si>
    <t>7243d5a9-256d-42ee-a442-46214d403359</t>
  </si>
  <si>
    <t>3a2ab8a2-e8c0-42f4-89ae-1d3ecf5aa89e</t>
  </si>
  <si>
    <t>e9b0fdf5-77ac-452e-865e-a2dd6c86aa67</t>
  </si>
  <si>
    <t>0b51444d-d59f-4857-99ec-9be992c656d2</t>
  </si>
  <si>
    <t>d20c3a3a-d716-42f7-9c3c-d86e179333d0</t>
  </si>
  <si>
    <t>7a933a09-81fb-4c47-b423-c2133b161f94</t>
  </si>
  <si>
    <t>40ead343-8e84-4cb8-93d3-d7d02d34e432</t>
  </si>
  <si>
    <t>49b43d9a-533a-4bd3-9fee-7c47e1b98f18</t>
  </si>
  <si>
    <t>b2ca62a8-ed4c-418a-a847-1265284b79ae</t>
  </si>
  <si>
    <t>24b06d21-591b-453d-8776-fd8be993e1c8</t>
  </si>
  <si>
    <t>1a0b717f-2755-4520-bf68-6c507badb1e4</t>
  </si>
  <si>
    <t>007b8105-febb-4438-bddd-cb0412a94b75</t>
  </si>
  <si>
    <t>dc20c686-58a1-450d-99af-94e568630868</t>
  </si>
  <si>
    <t>934498f6-3abc-4741-9da2-ce24601270d9</t>
  </si>
  <si>
    <t>2882b5ed-ff77-4eba-b5c1-7ca70a71aed5</t>
  </si>
  <si>
    <t>0bb5e912-7bb6-4d5c-928d-d55ca888f173</t>
  </si>
  <si>
    <t>8ce19a92-d8f2-4fbc-a4ed-38e3c87b996b</t>
  </si>
  <si>
    <t>26b33d59-d8b8-4f34-826a-e04edbab97ea</t>
  </si>
  <si>
    <t>4644397c-d7e9-4b6f-9ac2-9d739da5fd02</t>
  </si>
  <si>
    <t>7ac8001f-2c64-4b73-bb2a-05517de5fd8d</t>
  </si>
  <si>
    <t>PAGAMENTO</t>
  </si>
  <si>
    <t>Ajuste de saldo</t>
  </si>
  <si>
    <t>5555b54f-ca50-40ed-95c2-34c22b122550</t>
  </si>
  <si>
    <t>Parcelado</t>
  </si>
  <si>
    <t>55982352-e1c8-401c-9957-e25cff43e0ed</t>
  </si>
  <si>
    <t>e9739759-ded0-400d-89fd-a6a2a0e08bd9</t>
  </si>
  <si>
    <t>gasolina</t>
  </si>
  <si>
    <t>Não Essencial</t>
  </si>
  <si>
    <t>Itens do JIPOM</t>
  </si>
  <si>
    <t>60a95e9b-4d67-49a4-a6c9-f51bd397f152</t>
  </si>
  <si>
    <t>Referente a mês julho</t>
  </si>
  <si>
    <t>0ad3b283-d594-4f58-b872-b544aee5d677</t>
  </si>
  <si>
    <t>Itens Jipom</t>
  </si>
  <si>
    <t>93c6d9b7-4eaf-4278-af0a-f05416992718</t>
  </si>
  <si>
    <t>f3c4fb30-4e5b-4763-96be-b42f3f43f55c</t>
  </si>
  <si>
    <t>45f2737b-622d-484d-b0a9-820be547eeb8</t>
  </si>
  <si>
    <t>Referente a agosto. Tanque cheio</t>
  </si>
  <si>
    <t>9cb6f3a5-da4d-4f36-a94b-523f71121fc8</t>
  </si>
  <si>
    <t>Itens jipom</t>
  </si>
  <si>
    <t>dafc0cc5-6104-485c-b436-69dacbecaefb</t>
  </si>
  <si>
    <t>Frango para almoçar com avós</t>
  </si>
  <si>
    <t>1221fd6e-ead8-4194-9509-16d284f77acd</t>
  </si>
  <si>
    <t>6dcda194-1fd2-4867-b1bc-55bfb046b191</t>
  </si>
  <si>
    <t>assinatura qconcursos</t>
  </si>
  <si>
    <t>be6f98be-331b-436c-b66c-9296423c2e35</t>
  </si>
  <si>
    <t>parcela celular</t>
  </si>
  <si>
    <t>4fb19822-66dc-4739-9433-3efe3058574d</t>
  </si>
  <si>
    <t>seguro carro</t>
  </si>
  <si>
    <t>8ea64ba2-1a00-42d4-a08e-d1cad115a11f</t>
  </si>
  <si>
    <t>parcela carro</t>
  </si>
  <si>
    <t>d5936cfe-cbdd-435a-aadc-238d9cb7468e</t>
  </si>
  <si>
    <t>Dízimo</t>
  </si>
  <si>
    <t>59ef935b-34ea-4de5-9ed6-93385a53e218</t>
  </si>
  <si>
    <t>notbook</t>
  </si>
  <si>
    <t>2b596094-9089-4e5c-a524-e59147b740e7</t>
  </si>
  <si>
    <t>4b3dac66-7638-4b24-ba33-ec71088bad3b</t>
  </si>
  <si>
    <t>8b89bbee-bacb-4970-b512-21fb9fce00d0</t>
  </si>
  <si>
    <t>2574254e-47eb-4b3f-ae91-028e4d764bb4</t>
  </si>
  <si>
    <t>salário</t>
  </si>
  <si>
    <t>14a00c64-f2c3-40de-9a46-4724280c3949</t>
  </si>
  <si>
    <t>Pizza</t>
  </si>
  <si>
    <t>96e9d4ec-49dc-40af-b72e-ce2b53632854</t>
  </si>
  <si>
    <t>Água para o JIPOM</t>
  </si>
  <si>
    <t>01fed17b-31b0-4d75-bc16-6d4c98b04d4c</t>
  </si>
  <si>
    <t>Uber avós</t>
  </si>
  <si>
    <t>8ea9d930-6541-449b-a8bc-1f4ab1ad9323</t>
  </si>
  <si>
    <t>ENTRADA</t>
  </si>
  <si>
    <t>Pagamento do Uber avós</t>
  </si>
  <si>
    <t>80866b02-5e39-4376-9599-be22c1c607b1</t>
  </si>
  <si>
    <t>Jantarzinho</t>
  </si>
  <si>
    <t>99489689-e8f3-4a22-b01d-e535c5a9c093</t>
  </si>
  <si>
    <t>Conserto calça</t>
  </si>
  <si>
    <t>788a9a92-d075-4dde-b2fb-d2f7f192f02e</t>
  </si>
  <si>
    <t>0ebec124-efb1-4941-87de-682abf7edc17</t>
  </si>
  <si>
    <t>ed2f24b6-3a55-4cdd-9fb9-3a6630a65df8</t>
  </si>
  <si>
    <t>Almoço no paranoá em serviço</t>
  </si>
  <si>
    <t>b6c65120-6111-4a7b-9b26-ad096b3ac7d6</t>
  </si>
  <si>
    <t>mortadela</t>
  </si>
  <si>
    <t>1998b97f-79c9-4f5e-a648-842969013431</t>
  </si>
  <si>
    <t>Assinatura da Record vóinha</t>
  </si>
  <si>
    <t>9eeb5d36-e7d0-4d8b-886c-d42d5f2b7e30</t>
  </si>
  <si>
    <t>Almoço CEPOM</t>
  </si>
  <si>
    <t>c3a82b28-52bf-433d-a633-de8ce9cd6c78</t>
  </si>
  <si>
    <t>Almoço no BAVOP</t>
  </si>
  <si>
    <t>a56655ec-3a25-419a-9991-1bd28a21308f</t>
  </si>
  <si>
    <t>Pizza pós jipom</t>
  </si>
  <si>
    <t>42317ad5-ad80-41c1-afa4-98956282b1f2</t>
  </si>
  <si>
    <t>Ovos</t>
  </si>
  <si>
    <t>9990f7b3-17e2-43ae-af53-184c22ca351f</t>
  </si>
  <si>
    <t>Benjamin</t>
  </si>
  <si>
    <t>26926c24-e46f-401a-8fdf-e907ef9802ba</t>
  </si>
  <si>
    <t>Japonês com a Gabi</t>
  </si>
  <si>
    <t>a00d6b88-6eba-4e21-a7d3-eef2a7d28a18</t>
  </si>
  <si>
    <t>Tanque cheio</t>
  </si>
  <si>
    <t>9563f4a5-5806-41d9-917a-1b57eebe19d2</t>
  </si>
  <si>
    <t>Pão e requeijão na vendinha</t>
  </si>
  <si>
    <t>b78cb78d-bc4b-497f-ad83-3761f413cae5</t>
  </si>
  <si>
    <t>Arroz para o churrasco do pelotão</t>
  </si>
  <si>
    <t>d8b5eb14-9e70-4d84-9d9f-181ed365636c</t>
  </si>
  <si>
    <t>Churrasco com o pelotão</t>
  </si>
  <si>
    <t>7de94424-04e2-4bff-8fb4-84daa067eeb0</t>
  </si>
  <si>
    <t>Bebida churrasco</t>
  </si>
  <si>
    <t>382e1a5c-9168-4671-becf-98fc42675005</t>
  </si>
  <si>
    <t>Lanche pós adolas</t>
  </si>
  <si>
    <t>9cbfcb0b-4b03-4a50-91f0-d296ebdf2e32</t>
  </si>
  <si>
    <t>Almoço trabalho</t>
  </si>
  <si>
    <t>674c37bf-3fc9-44ac-8dbf-0d9f1802ee0e</t>
  </si>
  <si>
    <t>Lanche trabalho</t>
  </si>
  <si>
    <t>61f3b199-f093-490e-907f-489996b049ae</t>
  </si>
  <si>
    <t>Bebidas almoço</t>
  </si>
  <si>
    <t>93d7e0cc-00b7-40f7-afe8-599224315083</t>
  </si>
  <si>
    <t>Japão com Gabi</t>
  </si>
  <si>
    <t>0523ea77-a6ac-4ce1-b1e2-91db3507aa71</t>
  </si>
  <si>
    <t>Pizza Irmão</t>
  </si>
  <si>
    <t>f43a01e1-2276-4eee-b3fc-2073520eb8d3</t>
  </si>
  <si>
    <t>Aluguel vaga carro</t>
  </si>
  <si>
    <t>9804e8af-c356-4db4-be3a-a381495f79f3</t>
  </si>
  <si>
    <t>Bordados Farda</t>
  </si>
  <si>
    <t>f5612c47-4810-4aa7-b09f-f46d3b82ceeb</t>
  </si>
  <si>
    <t xml:space="preserve">Estacionamento shopping </t>
  </si>
  <si>
    <t>d879c8d9-135b-49fa-80c8-317cb96b5f82</t>
  </si>
  <si>
    <t>Gasolina tanque cheio</t>
  </si>
  <si>
    <t>6225217c-d4b1-4f98-9373-7a7cb3d49c38</t>
  </si>
  <si>
    <t>jantar Mainha</t>
  </si>
  <si>
    <t>54aa7c42-5a44-4104-abce-8473773dc87a</t>
  </si>
  <si>
    <t>café da manhã mainha</t>
  </si>
  <si>
    <t>a1573960-b1dd-4502-9898-de8d4b54c2b6</t>
  </si>
  <si>
    <t>aluguel stand up</t>
  </si>
  <si>
    <t>bc743c6b-acd7-4485-be96-2a512102df18</t>
  </si>
  <si>
    <t>remédio Gabi</t>
  </si>
  <si>
    <t>d58dd8c1-45da-4637-b179-546ed958ce26</t>
  </si>
  <si>
    <t>café da manhã irmão</t>
  </si>
  <si>
    <t>c34717ac-908f-4297-ad8b-c03fbd5adc04</t>
  </si>
  <si>
    <t>lanhce pós culto com Gabi</t>
  </si>
  <si>
    <t>ca2ed421-e894-4bb8-9926-dba52a5b2543</t>
  </si>
  <si>
    <t>aluguel caiaque</t>
  </si>
  <si>
    <t>2e9d5e44-49d5-4384-a62e-afb67a0e5a04</t>
  </si>
  <si>
    <t>lanche subway</t>
  </si>
  <si>
    <t>655d6cf8-ad82-4956-84bf-86f449eba82d</t>
  </si>
  <si>
    <t xml:space="preserve">gasolina  </t>
  </si>
  <si>
    <t>1d77bfc8-4deb-485d-8944-21187e5d7b3e</t>
  </si>
  <si>
    <t>95efcb3a-426b-431a-98e6-92fb6ae862c7</t>
  </si>
  <si>
    <t>fivela cinto formatura</t>
  </si>
  <si>
    <t>7b7afad3-6890-40b4-901b-2d89296df140</t>
  </si>
  <si>
    <t>lanche jantar</t>
  </si>
  <si>
    <t>7377da67-9b3b-4204-88f2-09d26674675f</t>
  </si>
  <si>
    <t>água</t>
  </si>
  <si>
    <t>a8e95969-59a0-49a2-8248-e5ba469f949f</t>
  </si>
  <si>
    <t>internet claro</t>
  </si>
  <si>
    <t>84a362ff-990b-46a5-9008-250bae847680</t>
  </si>
  <si>
    <t>4034596a-6555-4e69-a44c-e9915ab7b192</t>
  </si>
  <si>
    <t>73cd2d67-a49a-4e85-a416-e211106240fa</t>
  </si>
  <si>
    <t>708259ea-bd60-4764-985e-354bd5011439</t>
  </si>
  <si>
    <t>d3ca4b01-9d1e-4f07-a9d0-f9df7439ac89</t>
  </si>
  <si>
    <t>taxa corrida</t>
  </si>
  <si>
    <t>97caee06-d746-49f2-bdfa-653f30f4cafa</t>
  </si>
  <si>
    <t>R$ 55,00</t>
  </si>
  <si>
    <t>pagamento bordado</t>
  </si>
  <si>
    <t>2568823e-da51-4a26-9475-ff90608508c0</t>
  </si>
  <si>
    <t>imosec</t>
  </si>
  <si>
    <t>298adf50-0e44-40bc-b95a-99e1f94aedb8</t>
  </si>
  <si>
    <t>Bebidas para festa agostina</t>
  </si>
  <si>
    <t>e70f637b-e9a3-46aa-8b79-1d9cc2bcf74a</t>
  </si>
  <si>
    <t>tesette</t>
  </si>
  <si>
    <t>72f81f46-cd1c-4e80-a14d-194643d84313</t>
  </si>
  <si>
    <t>ID_MOVIMENTAÇÃO</t>
  </si>
  <si>
    <t>Bíblia</t>
  </si>
  <si>
    <t>Ingresso show Gabi</t>
  </si>
  <si>
    <t>Marmitas almoço</t>
  </si>
  <si>
    <t>bebida</t>
  </si>
  <si>
    <t>picoles</t>
  </si>
  <si>
    <t>água de coco</t>
  </si>
  <si>
    <t>Salário PMDF</t>
  </si>
  <si>
    <t xml:space="preserve">Munições </t>
  </si>
  <si>
    <t>bebida jogo chico</t>
  </si>
  <si>
    <t xml:space="preserve">abafador e óculos proteção </t>
  </si>
  <si>
    <t>Café da manhã pós corrida</t>
  </si>
  <si>
    <t>Água no serviço</t>
  </si>
  <si>
    <t>lanche pós estande</t>
  </si>
  <si>
    <t>Presente de Mainha</t>
  </si>
  <si>
    <t>Suco lanche</t>
  </si>
  <si>
    <t>Lanche pós trabalho com Amor</t>
  </si>
  <si>
    <t>Boné pelotão</t>
  </si>
  <si>
    <t>Almoço com os meninos</t>
  </si>
  <si>
    <t>Água com gás para vó</t>
  </si>
  <si>
    <t>Açaí com Gabi</t>
  </si>
  <si>
    <t>Jogo red dead</t>
  </si>
  <si>
    <t>Salgados com irmão</t>
  </si>
  <si>
    <t>Energético</t>
  </si>
  <si>
    <t>Baguete pós culto</t>
  </si>
  <si>
    <t>Sabonete</t>
  </si>
  <si>
    <t>Ajuda vô</t>
  </si>
  <si>
    <t>Multa</t>
  </si>
  <si>
    <t>Tanque cheio - 40l</t>
  </si>
  <si>
    <t>Aluguel vaga</t>
  </si>
  <si>
    <t>Almoço</t>
  </si>
  <si>
    <t xml:space="preserve">energético </t>
  </si>
  <si>
    <t>bebidas pizzas</t>
  </si>
  <si>
    <t>corte de cabelo</t>
  </si>
  <si>
    <t>Jantar na festa do igor</t>
  </si>
  <si>
    <t>Bebida</t>
  </si>
  <si>
    <t>Lavagem do carro</t>
  </si>
  <si>
    <t>Pastéis para o Heitor e murilo</t>
  </si>
  <si>
    <t>Pizzas pós culto militar</t>
  </si>
  <si>
    <t>Camisa do pelotão</t>
  </si>
  <si>
    <t>Presente para o igor</t>
  </si>
  <si>
    <t>Lanche com Gabi Chincho gordo</t>
  </si>
  <si>
    <t>Churrascaria com Mainha</t>
  </si>
  <si>
    <t>Fardamento bordados</t>
  </si>
  <si>
    <t>Lanche com família</t>
  </si>
  <si>
    <t>Almoço Aniversário Mainha</t>
  </si>
  <si>
    <t>vaga carro</t>
  </si>
  <si>
    <t>advogado</t>
  </si>
  <si>
    <t xml:space="preserve">reserva de emergência </t>
  </si>
  <si>
    <t xml:space="preserve">porta algema </t>
  </si>
  <si>
    <t>fita perna coldre</t>
  </si>
  <si>
    <t>Lanche cepom</t>
  </si>
  <si>
    <t>Jantar com a Gabi</t>
  </si>
  <si>
    <t>Lanche Jerivá</t>
  </si>
  <si>
    <t>Tênis novo</t>
  </si>
  <si>
    <t>Bordados farda</t>
  </si>
  <si>
    <t>Filha Chico</t>
  </si>
  <si>
    <t>Lanche na feirinha com Família</t>
  </si>
  <si>
    <t>Café da manhã trabalho</t>
  </si>
  <si>
    <t>Hambúrguer com Gabi</t>
  </si>
  <si>
    <t>Mauricius com Gabi</t>
  </si>
  <si>
    <t>Almoço dia das crianças</t>
  </si>
  <si>
    <t>Cinema com Gabi</t>
  </si>
  <si>
    <t>Lanche cinema Gabi</t>
  </si>
  <si>
    <t>Saída com irmão. Colocamos 15l e dividimos</t>
  </si>
  <si>
    <t>Lanche com os meninos célula</t>
  </si>
  <si>
    <t>Café da tarde com avós e meninos</t>
  </si>
  <si>
    <t>Café da manhã na trilha com amigos</t>
  </si>
  <si>
    <t>Almoço com família Gabi</t>
  </si>
  <si>
    <t>Jantar pós culto</t>
  </si>
  <si>
    <t>Almoço serviço</t>
  </si>
  <si>
    <t>Planilha de treinos</t>
  </si>
  <si>
    <t>Planilha de treino</t>
  </si>
  <si>
    <t>lanche</t>
  </si>
  <si>
    <t>Não identificado</t>
  </si>
  <si>
    <t>Almoço com Mainha</t>
  </si>
  <si>
    <t>Café para guarda</t>
  </si>
  <si>
    <t>Café da manhã guarda</t>
  </si>
  <si>
    <t>Auxílio fardamento</t>
  </si>
  <si>
    <t>Contas de casa</t>
  </si>
  <si>
    <t>Fotos formatura</t>
  </si>
  <si>
    <t>24/12/2026 11:23:08.</t>
  </si>
  <si>
    <t>FLUXO</t>
  </si>
  <si>
    <t>NATUREZA</t>
  </si>
  <si>
    <t>ESSENCIALIDADE</t>
  </si>
  <si>
    <t>COMPORTAMENTO</t>
  </si>
  <si>
    <t>CATEGORIA_LEGADA</t>
  </si>
  <si>
    <t>OBSERVACAO_MIGRACAO</t>
  </si>
  <si>
    <t>Receita</t>
  </si>
  <si>
    <t>Despesa</t>
  </si>
  <si>
    <t>Financiamento</t>
  </si>
  <si>
    <t>Essencial|Não essencial</t>
  </si>
  <si>
    <t>Fixo|Variável|Periódico</t>
  </si>
  <si>
    <t>Condomínio</t>
  </si>
  <si>
    <t>Alimentação</t>
  </si>
  <si>
    <t>Lanche</t>
  </si>
  <si>
    <t>Delivery</t>
  </si>
  <si>
    <t>Transporte</t>
  </si>
  <si>
    <t>Combustível</t>
  </si>
  <si>
    <t>Manutenção</t>
  </si>
  <si>
    <t>Seguro</t>
  </si>
  <si>
    <t>Saúde</t>
  </si>
  <si>
    <t>Farmácia</t>
  </si>
  <si>
    <t>Educação</t>
  </si>
  <si>
    <t>Lazer</t>
  </si>
  <si>
    <t>Passeios</t>
  </si>
  <si>
    <t>Compras</t>
  </si>
  <si>
    <t>Serviços</t>
  </si>
  <si>
    <t>Assinaturas</t>
  </si>
  <si>
    <t>Telefonia</t>
  </si>
  <si>
    <t>Pendente de classificação</t>
  </si>
  <si>
    <t>A classificar</t>
  </si>
  <si>
    <t>Investimento</t>
  </si>
  <si>
    <t>Renda fixa</t>
  </si>
  <si>
    <t>Renda variável</t>
  </si>
  <si>
    <t>Fundos</t>
  </si>
  <si>
    <t>Aporte para sonho</t>
  </si>
  <si>
    <t>Aporte para meta</t>
  </si>
  <si>
    <t>A categoria de consumo original não pode ser inferida; comportamento pendente.</t>
  </si>
  <si>
    <t>Manter natureza patrimonial; verificar categoria e subcategoria originais.</t>
  </si>
  <si>
    <t>Manter aporte separado de consumo; verificar vínculo ID_META.</t>
  </si>
  <si>
    <t>Categoria de receita preservada.</t>
  </si>
  <si>
    <t>Categoria de receita preservada como entrada; validar convenção do projeto.</t>
  </si>
  <si>
    <t>CATEGORIA_NOVA</t>
  </si>
  <si>
    <t>SUBCATEGORIA_NOVA</t>
  </si>
  <si>
    <t>ID_MOVIMENTACAO_V2</t>
  </si>
  <si>
    <t>ID_META_V2</t>
  </si>
  <si>
    <t>STATUS_CLASSIFICACAO</t>
  </si>
  <si>
    <t>PAGAMENTO_V2</t>
  </si>
  <si>
    <t>RESUMO DA CLASSIFICAÇÃO</t>
  </si>
  <si>
    <t>Receitas</t>
  </si>
  <si>
    <t>Despesas</t>
  </si>
  <si>
    <t>Despesas essenciais</t>
  </si>
  <si>
    <t>Despesas não essenciais</t>
  </si>
  <si>
    <t>Aportes para sonhos</t>
  </si>
  <si>
    <t>Saldo financeiro</t>
  </si>
  <si>
    <t>PARCELADO_V2</t>
  </si>
  <si>
    <t>QUANTIDADE_PARCELAS_V2</t>
  </si>
  <si>
    <t>NUMERO_PARCELA_V2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</si>
</sst>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/yyyy"/>
    <numFmt numFmtId="165" formatCode="[$R$ -416]#,##0.00"/>
    <numFmt numFmtId="166" formatCode="dd/mm/yyyy\ hh:mm:ss"/>
    <numFmt numFmtId="167" formatCode="d/m/yyyy\ hh:mm:ss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rgb="FF11734B"/>
      <name val="Arial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166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/>
    <xf numFmtId="165" fontId="1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0" fontId="2" fillId="0" borderId="0" xfId="0" applyNumberFormat="1" applyFont="1"/>
    <xf numFmtId="9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164" fontId="2" fillId="0" borderId="1" xfId="0" applyNumberFormat="1" applyFont="1" applyBorder="1"/>
    <xf numFmtId="0" fontId="2" fillId="3" borderId="1" xfId="0" applyFont="1" applyFill="1" applyBorder="1"/>
    <xf numFmtId="9" fontId="2" fillId="0" borderId="1" xfId="0" applyNumberFormat="1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165" fontId="2" fillId="0" borderId="1" xfId="0" applyNumberFormat="1" applyFont="1" applyBorder="1"/>
    <xf numFmtId="0" fontId="2" fillId="7" borderId="1" xfId="0" applyFont="1" applyFill="1" applyBorder="1"/>
    <xf numFmtId="0" fontId="2" fillId="8" borderId="1" xfId="0" applyFont="1" applyFill="1" applyBorder="1"/>
    <xf numFmtId="10" fontId="2" fillId="9" borderId="1" xfId="0" applyNumberFormat="1" applyFont="1" applyFill="1" applyBorder="1"/>
    <xf numFmtId="0" fontId="2" fillId="10" borderId="1" xfId="0" applyFont="1" applyFill="1" applyBorder="1"/>
    <xf numFmtId="0" fontId="4" fillId="0" borderId="1" xfId="0" applyFont="1" applyBorder="1"/>
    <xf numFmtId="10" fontId="2" fillId="0" borderId="1" xfId="0" applyNumberFormat="1" applyFont="1" applyBorder="1"/>
    <xf numFmtId="1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5" fontId="4" fillId="8" borderId="1" xfId="0" applyNumberFormat="1" applyFont="1" applyFill="1" applyBorder="1" applyAlignment="1">
      <alignment horizontal="right"/>
    </xf>
    <xf numFmtId="0" fontId="4" fillId="0" borderId="3" xfId="0" applyFont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65" fontId="4" fillId="7" borderId="1" xfId="0" applyNumberFormat="1" applyFont="1" applyFill="1" applyBorder="1" applyAlignment="1">
      <alignment horizontal="right"/>
    </xf>
    <xf numFmtId="166" fontId="2" fillId="0" borderId="1" xfId="0" applyNumberFormat="1" applyFont="1" applyBorder="1"/>
    <xf numFmtId="166" fontId="4" fillId="0" borderId="1" xfId="0" applyNumberFormat="1" applyFont="1" applyBorder="1" applyAlignment="1">
      <alignment horizontal="right"/>
    </xf>
    <xf numFmtId="0" fontId="4" fillId="0" borderId="0" xfId="0" applyFont="1"/>
    <xf numFmtId="165" fontId="4" fillId="0" borderId="3" xfId="0" applyNumberFormat="1" applyFont="1" applyBorder="1" applyAlignment="1">
      <alignment horizontal="right"/>
    </xf>
    <xf numFmtId="0" fontId="5" fillId="0" borderId="3" xfId="0" applyFont="1" applyBorder="1"/>
    <xf numFmtId="165" fontId="4" fillId="7" borderId="3" xfId="0" applyNumberFormat="1" applyFont="1" applyFill="1" applyBorder="1" applyAlignment="1">
      <alignment horizontal="right"/>
    </xf>
    <xf numFmtId="0" fontId="6" fillId="0" borderId="1" xfId="0" applyFont="1" applyBorder="1"/>
    <xf numFmtId="167" fontId="2" fillId="0" borderId="1" xfId="0" applyNumberFormat="1" applyFont="1" applyBorder="1"/>
    <xf numFmtId="0" fontId="7" fillId="0" borderId="0" xfId="0" applyFont="1"/>
    <xf numFmtId="0" fontId="7" fillId="0" borderId="0" xfId="0" applyFont="1" applyAlignment="1">
      <alignment wrapText="1"/>
    </xf>
    <xf numFmtId="0" fontId="1" fillId="0" borderId="2" xfId="0" applyFont="1" applyBorder="1" applyAlignment="1">
      <alignment horizontal="center"/>
    </xf>
    <xf numFmtId="0" fontId="3" fillId="0" borderId="3" xfId="0" applyFont="1" applyBorder="1"/>
  </cellXfs>
  <cellStyles count="1">
    <cellStyle name="Normal" xfId="0" builtinId="0"/>
  </cellStyles>
  <dxfs count="27"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/>
  </sheetViews>
  <sheetFormatPr defaultColWidth="12.6640625" defaultRowHeight="15.75" customHeight="1" x14ac:dyDescent="0.25"/>
  <cols>
    <col min="4" max="4" width="14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46023</v>
      </c>
      <c r="B2" s="3">
        <f>ABS(SUMIFS(
 JANEIRO2026!G:G,
 JANEIRO2026!B:B,"Entrada"
))</f>
        <v>0</v>
      </c>
      <c r="C2" s="3">
        <f>ABS(SUMIFS(
 JANEIRO2026!G:G,
 JANEIRO2026!B:B,"Saída"
))</f>
        <v>287.24</v>
      </c>
      <c r="D2" s="3">
        <f>SUMIFS(JANEIRO2026!$F:$F,JANEIRO2026!$Y:$Y,"Investimento")+SUMIFS(JANEIRO2026!$F:$F,JANEIRO2026!$D:$D,"Investimentos",JANEIRO2026!$X:$X,"" )</f>
        <v>100</v>
      </c>
      <c r="E2" s="3">
        <f>SUMIFS(JANEIRO2026!$F:$F,JANEIRO2026!$Y:$Y,"Aporte para sonho")+SUMIFS(JANEIRO2026!$F:$F,JANEIRO2026!$D:$D,"Sonhos",JANEIRO2026!$X:$X,"" )</f>
        <v>100</v>
      </c>
    </row>
    <row r="3" spans="1:5" x14ac:dyDescent="0.25">
      <c r="A3" s="2">
        <v>46054</v>
      </c>
      <c r="B3" s="3"/>
      <c r="C3" s="3"/>
      <c r="D3" s="3">
        <f>SUMIFS(FEVEREIRO2026!$F:$F,FEVEREIRO2026!$Y:$Y,"Investimento")+SUMIFS(FEVEREIRO2026!$F:$F,FEVEREIRO2026!$D:$D,"Investimentos",FEVEREIRO2026!$X:$X,"" )</f>
        <v>0</v>
      </c>
      <c r="E3" s="3">
        <f>SUMIFS(FEVEREIRO2026!$F:$F,FEVEREIRO2026!$Y:$Y,"Aporte para sonho")+SUMIFS(FEVEREIRO2026!$F:$F,FEVEREIRO2026!$D:$D,"Sonhos",FEVEREIRO2026!$X:$X,"" )</f>
        <v>0</v>
      </c>
    </row>
    <row r="4" spans="1:5" x14ac:dyDescent="0.25">
      <c r="A4" s="2">
        <v>46082</v>
      </c>
      <c r="B4" s="3"/>
      <c r="C4" s="3"/>
      <c r="D4" s="3">
        <f>SUMIFS(MARÇO2026!$F:$F,MARÇO2026!$Y:$Y,"Investimento")+SUMIFS(MARÇO2026!$F:$F,MARÇO2026!$D:$D,"Investimentos",MARÇO2026!$X:$X,"" )</f>
        <v>0</v>
      </c>
      <c r="E4" s="3">
        <f>SUMIFS(MARÇO2026!$F:$F,MARÇO2026!$Y:$Y,"Aporte para sonho")+SUMIFS(MARÇO2026!$F:$F,MARÇO2026!$D:$D,"Sonhos",MARÇO2026!$X:$X,"" )</f>
        <v>0</v>
      </c>
    </row>
    <row r="5" spans="1:5" x14ac:dyDescent="0.25">
      <c r="A5" s="2">
        <v>46113</v>
      </c>
      <c r="B5" s="3"/>
      <c r="C5" s="3"/>
      <c r="D5" s="3">
        <f>SUMIFS(ABRIL2026!$F:$F,ABRIL2026!$Y:$Y,"Investimento")+SUMIFS(ABRIL2026!$F:$F,ABRIL2026!$D:$D,"Investimentos",ABRIL2026!$X:$X,"" )</f>
        <v>0</v>
      </c>
      <c r="E5" s="3">
        <f>SUMIFS(ABRIL2026!$F:$F,ABRIL2026!$Y:$Y,"Aporte para sonho")+SUMIFS(ABRIL2026!$F:$F,ABRIL2026!$D:$D,"Sonhos",ABRIL2026!$X:$X,"" )</f>
        <v>0</v>
      </c>
    </row>
    <row r="6" spans="1:5" x14ac:dyDescent="0.25">
      <c r="A6" s="2">
        <v>46143</v>
      </c>
      <c r="B6" s="3"/>
      <c r="C6" s="3"/>
      <c r="D6" s="3">
        <f>SUMIFS(MAIO2026!$F:$F,MAIO2026!$Y:$Y,"Investimento")+SUMIFS(MAIO2026!$F:$F,MAIO2026!$D:$D,"Investimentos",MAIO2026!$X:$X,"" )</f>
        <v>1346</v>
      </c>
      <c r="E6" s="3">
        <f>SUMIFS(MAIO2026!$F:$F,MAIO2026!$Y:$Y,"Aporte para sonho")+SUMIFS(MAIO2026!$F:$F,MAIO2026!$D:$D,"Sonhos",MAIO2026!$X:$X,"" )</f>
        <v>0</v>
      </c>
    </row>
    <row r="7" spans="1:5" x14ac:dyDescent="0.25">
      <c r="A7" s="2">
        <v>46174</v>
      </c>
      <c r="B7" s="3"/>
      <c r="C7" s="3"/>
      <c r="D7" s="3">
        <f>SUMIFS(JUNHO2026!$F:$F,JUNHO2026!$Y:$Y,"Investimento")+SUMIFS(JUNHO2026!$F:$F,JUNHO2026!$D:$D,"Investimentos",JUNHO2026!$X:$X,"" )</f>
        <v>0</v>
      </c>
      <c r="E7" s="3">
        <f>SUMIFS(JUNHO2026!$F:$F,JUNHO2026!$Y:$Y,"Aporte para sonho")+SUMIFS(JUNHO2026!$F:$F,JUNHO2026!$D:$D,"Sonhos",JUNHO2026!$X:$X,"" )</f>
        <v>0</v>
      </c>
    </row>
    <row r="8" spans="1:5" x14ac:dyDescent="0.25">
      <c r="A8" s="2">
        <v>46204</v>
      </c>
      <c r="B8" s="3"/>
      <c r="C8" s="3"/>
      <c r="D8" s="3">
        <f>SUMIFS(JULHO2026!$F:$F,JULHO2026!$Y:$Y,"Investimento")+SUMIFS(JULHO2026!$F:$F,JULHO2026!$D:$D,"Investimentos",JULHO2026!$X:$X,"" )</f>
        <v>0</v>
      </c>
      <c r="E8" s="3">
        <f>SUMIFS(JULHO2026!$F:$F,JULHO2026!$Y:$Y,"Aporte para sonho")+SUMIFS(JULHO2026!$F:$F,JULHO2026!$D:$D,"Sonhos",JULHO2026!$X:$X,"" )</f>
        <v>0</v>
      </c>
    </row>
    <row r="9" spans="1:5" x14ac:dyDescent="0.25">
      <c r="A9" s="2">
        <v>46235</v>
      </c>
      <c r="B9" s="3"/>
      <c r="C9" s="3"/>
      <c r="D9" s="3">
        <f>SUMIFS(AGOSTO2026!$F:$F,AGOSTO2026!$Y:$Y,"Investimento")+SUMIFS(AGOSTO2026!$F:$F,AGOSTO2026!$D:$D,"Investimentos",AGOSTO2026!$X:$X,"" )</f>
        <v>250</v>
      </c>
      <c r="E9" s="3">
        <f>SUMIFS(AGOSTO2026!$F:$F,AGOSTO2026!$Y:$Y,"Aporte para sonho")+SUMIFS(AGOSTO2026!$F:$F,AGOSTO2026!$D:$D,"Sonhos",AGOSTO2026!$X:$X,"" )</f>
        <v>0</v>
      </c>
    </row>
    <row r="10" spans="1:5" x14ac:dyDescent="0.25">
      <c r="A10" s="2">
        <v>46266</v>
      </c>
      <c r="B10" s="3"/>
      <c r="C10" s="3"/>
      <c r="D10" s="3">
        <f>SUMIFS(SETEMBRO2026!$F:$F,SETEMBRO2026!$Y:$Y,"Investimento")+SUMIFS(SETEMBRO2026!$F:$F,SETEMBRO2026!$D:$D,"Investimentos",SETEMBRO2026!$X:$X,"" )</f>
        <v>250</v>
      </c>
      <c r="E10" s="3">
        <f>SUMIFS(SETEMBRO2026!$F:$F,SETEMBRO2026!$Y:$Y,"Aporte para sonho")+SUMIFS(SETEMBRO2026!$F:$F,SETEMBRO2026!$D:$D,"Sonhos",SETEMBRO2026!$X:$X,"" )</f>
        <v>0</v>
      </c>
    </row>
    <row r="11" spans="1:5" x14ac:dyDescent="0.25">
      <c r="A11" s="2">
        <v>46296</v>
      </c>
      <c r="B11" s="3"/>
      <c r="C11" s="3"/>
      <c r="D11" s="3">
        <f>SUMIFS(OUTUBRO2026!$F:$F,OUTUBRO2026!$Y:$Y,"Investimento")+SUMIFS(OUTUBRO2026!$F:$F,OUTUBRO2026!$D:$D,"Investimentos",OUTUBRO2026!$X:$X,"" )</f>
        <v>1550</v>
      </c>
      <c r="E11" s="3">
        <f>SUMIFS(OUTUBRO2026!$F:$F,OUTUBRO2026!$Y:$Y,"Aporte para sonho")+SUMIFS(OUTUBRO2026!$F:$F,OUTUBRO2026!$D:$D,"Sonhos",OUTUBRO2026!$X:$X,"" )</f>
        <v>0</v>
      </c>
    </row>
    <row r="12" spans="1:5" x14ac:dyDescent="0.25">
      <c r="A12" s="2">
        <v>46327</v>
      </c>
      <c r="B12" s="3"/>
      <c r="C12" s="3"/>
      <c r="D12" s="3">
        <f>SUMIFS(NOVEMBRO2026!$F:$F,NOVEMBRO2026!$Y:$Y,"Investimento")+SUMIFS(NOVEMBRO2026!$F:$F,NOVEMBRO2026!$D:$D,"Investimentos",NOVEMBRO2026!$X:$X,"" )</f>
        <v>250</v>
      </c>
      <c r="E12" s="3">
        <f>SUMIFS(NOVEMBRO2026!$F:$F,NOVEMBRO2026!$Y:$Y,"Aporte para sonho")+SUMIFS(NOVEMBRO2026!$F:$F,NOVEMBRO2026!$D:$D,"Sonhos",NOVEMBRO2026!$X:$X,"" )</f>
        <v>0</v>
      </c>
    </row>
    <row r="13" spans="1:5" x14ac:dyDescent="0.25">
      <c r="A13" s="2">
        <v>46357</v>
      </c>
      <c r="B13" s="3"/>
      <c r="C13" s="3"/>
      <c r="D13" s="3">
        <f>SUMIFS(DEZEMBRO2026!$F:$F,DEZEMBRO2026!$Y:$Y,"Investimento")+SUMIFS(DEZEMBRO2026!$F:$F,DEZEMBRO2026!$D:$D,"Investimentos",DEZEMBRO2026!$X:$X,"" )</f>
        <v>250</v>
      </c>
      <c r="E13" s="3">
        <f>SUMIFS(DEZEMBRO2026!$F:$F,DEZEMBRO2026!$Y:$Y,"Aporte para sonho")+SUMIFS(DEZEMBRO2026!$F:$F,DEZEMBRO2026!$D:$D,"Sonhos",DEZEMBRO2026!$X:$X,"" )</f>
        <v>0</v>
      </c>
    </row>
    <row r="14" spans="1:5" x14ac:dyDescent="0.25">
      <c r="A14" s="4" t="s">
        <v>5</v>
      </c>
      <c r="B14" s="3">
        <f t="shared" ref="B14:C14" si="0">SUM(B2:B13)</f>
        <v>0</v>
      </c>
      <c r="C14" s="3">
        <f t="shared" si="0"/>
        <v>287.24</v>
      </c>
      <c r="D14" s="3">
        <f>SUM(D2:D13)</f>
        <v>3996</v>
      </c>
      <c r="E14" s="3">
        <f>SUM(E2:E13)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"/>
  <sheetViews>
    <sheetView workbookViewId="0"/>
  </sheetViews>
  <sheetFormatPr defaultColWidth="12.6640625" defaultRowHeight="15.75" customHeight="1" x14ac:dyDescent="0.25"/>
  <cols>
    <col min="1" max="1" width="11.44140625" customWidth="1"/>
    <col min="2" max="2" width="27.88671875" customWidth="1"/>
    <col min="3" max="3" width="16.6640625" customWidth="1"/>
    <col min="4" max="4" width="14.77734375" customWidth="1"/>
    <col min="5" max="5" width="9.21875" customWidth="1"/>
    <col min="6" max="6" width="19" customWidth="1"/>
    <col min="7" max="7" width="14.109375" customWidth="1"/>
    <col min="8" max="8" width="17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5" t="s">
        <v>13</v>
      </c>
    </row>
    <row r="2" spans="1:8" x14ac:dyDescent="0.25">
      <c r="A2" s="6" t="s">
        <v>14</v>
      </c>
      <c r="B2" s="4" t="s">
        <v>15</v>
      </c>
      <c r="C2" s="3">
        <v>500</v>
      </c>
      <c r="D2" s="4" t="s">
        <v>16</v>
      </c>
      <c r="E2" s="4" t="s">
        <v>17</v>
      </c>
      <c r="F2" s="4" t="s">
        <v>18</v>
      </c>
      <c r="G2" s="7">
        <v>46291.678252314814</v>
      </c>
      <c r="H2" s="8"/>
    </row>
    <row r="3" spans="1:8" x14ac:dyDescent="0.25">
      <c r="A3" s="4" t="s">
        <v>19</v>
      </c>
      <c r="B3" s="4" t="s">
        <v>20</v>
      </c>
      <c r="C3" s="3">
        <v>230</v>
      </c>
      <c r="D3" s="4" t="s">
        <v>21</v>
      </c>
      <c r="E3" s="4" t="s">
        <v>17</v>
      </c>
      <c r="F3" s="4" t="s">
        <v>18</v>
      </c>
      <c r="G3" s="7">
        <v>46291.678252314814</v>
      </c>
      <c r="H3" s="8"/>
    </row>
    <row r="4" spans="1:8" x14ac:dyDescent="0.25">
      <c r="A4" s="4" t="s">
        <v>22</v>
      </c>
      <c r="B4" s="4" t="s">
        <v>23</v>
      </c>
      <c r="C4" s="3">
        <v>157</v>
      </c>
      <c r="D4" s="4" t="s">
        <v>21</v>
      </c>
      <c r="E4" s="4" t="s">
        <v>24</v>
      </c>
      <c r="F4" s="4" t="s">
        <v>18</v>
      </c>
      <c r="G4" s="7">
        <v>46291.678252314814</v>
      </c>
      <c r="H4" s="8">
        <v>46314.497084525465</v>
      </c>
    </row>
    <row r="5" spans="1:8" x14ac:dyDescent="0.25">
      <c r="A5" s="4" t="s">
        <v>25</v>
      </c>
      <c r="B5" s="4" t="s">
        <v>26</v>
      </c>
      <c r="C5" s="3">
        <v>40</v>
      </c>
      <c r="D5" s="4" t="s">
        <v>21</v>
      </c>
      <c r="E5" s="4" t="s">
        <v>17</v>
      </c>
      <c r="F5" s="4" t="s">
        <v>18</v>
      </c>
      <c r="G5" s="7">
        <v>46291.678252314814</v>
      </c>
      <c r="H5" s="8"/>
    </row>
    <row r="6" spans="1:8" x14ac:dyDescent="0.25">
      <c r="A6" s="4" t="s">
        <v>27</v>
      </c>
      <c r="B6" s="4" t="s">
        <v>28</v>
      </c>
      <c r="C6" s="3">
        <v>20</v>
      </c>
      <c r="D6" s="4" t="s">
        <v>21</v>
      </c>
      <c r="E6" s="4" t="s">
        <v>24</v>
      </c>
      <c r="F6" s="4" t="s">
        <v>18</v>
      </c>
      <c r="G6" s="7">
        <v>46291.678252314814</v>
      </c>
      <c r="H6" s="8">
        <v>46291.958441458337</v>
      </c>
    </row>
    <row r="7" spans="1:8" x14ac:dyDescent="0.25">
      <c r="A7" s="4" t="s">
        <v>29</v>
      </c>
      <c r="B7" s="4" t="s">
        <v>30</v>
      </c>
      <c r="C7" s="3">
        <v>200</v>
      </c>
      <c r="D7" s="4" t="s">
        <v>21</v>
      </c>
      <c r="E7" s="4" t="s">
        <v>17</v>
      </c>
      <c r="F7" s="4" t="s">
        <v>31</v>
      </c>
      <c r="G7" s="7">
        <v>46291.678252314814</v>
      </c>
      <c r="H7" s="4"/>
    </row>
    <row r="8" spans="1:8" x14ac:dyDescent="0.25">
      <c r="A8" s="4" t="s">
        <v>32</v>
      </c>
      <c r="B8" s="4" t="s">
        <v>33</v>
      </c>
      <c r="C8" s="3">
        <v>191</v>
      </c>
      <c r="D8" s="4" t="s">
        <v>21</v>
      </c>
      <c r="E8" s="4" t="s">
        <v>24</v>
      </c>
      <c r="F8" s="4" t="s">
        <v>18</v>
      </c>
      <c r="G8" s="7">
        <v>46291.678252314814</v>
      </c>
      <c r="H8" s="4"/>
    </row>
    <row r="9" spans="1:8" x14ac:dyDescent="0.25">
      <c r="A9" s="4" t="s">
        <v>34</v>
      </c>
      <c r="B9" s="4" t="s">
        <v>35</v>
      </c>
      <c r="C9" s="3">
        <v>195</v>
      </c>
      <c r="D9" s="4" t="s">
        <v>21</v>
      </c>
      <c r="E9" s="4" t="s">
        <v>17</v>
      </c>
      <c r="F9" s="4" t="s">
        <v>36</v>
      </c>
      <c r="G9" s="7">
        <v>46291.678252314814</v>
      </c>
      <c r="H9" s="4"/>
    </row>
    <row r="10" spans="1:8" x14ac:dyDescent="0.25">
      <c r="A10" s="4" t="s">
        <v>37</v>
      </c>
      <c r="B10" s="4" t="s">
        <v>38</v>
      </c>
      <c r="C10" s="3">
        <v>100</v>
      </c>
      <c r="D10" s="4" t="s">
        <v>21</v>
      </c>
      <c r="E10" s="4" t="s">
        <v>17</v>
      </c>
      <c r="F10" s="4" t="s">
        <v>18</v>
      </c>
      <c r="G10" s="7">
        <v>46291.678252314814</v>
      </c>
      <c r="H10" s="4"/>
    </row>
    <row r="11" spans="1:8" x14ac:dyDescent="0.25">
      <c r="A11" s="4" t="s">
        <v>39</v>
      </c>
      <c r="B11" s="4" t="s">
        <v>40</v>
      </c>
      <c r="C11" s="3">
        <v>79</v>
      </c>
      <c r="D11" s="4" t="s">
        <v>21</v>
      </c>
      <c r="E11" s="4" t="s">
        <v>17</v>
      </c>
      <c r="F11" s="4" t="s">
        <v>36</v>
      </c>
      <c r="G11" s="7">
        <v>46291.678252314814</v>
      </c>
      <c r="H11" s="4"/>
    </row>
    <row r="12" spans="1:8" x14ac:dyDescent="0.25">
      <c r="A12" s="4" t="s">
        <v>41</v>
      </c>
      <c r="B12" s="4" t="s">
        <v>42</v>
      </c>
      <c r="C12" s="3">
        <v>123</v>
      </c>
      <c r="D12" s="4" t="s">
        <v>21</v>
      </c>
      <c r="E12" s="4" t="s">
        <v>17</v>
      </c>
      <c r="F12" s="4" t="s">
        <v>36</v>
      </c>
      <c r="G12" s="7">
        <v>46291.678252314814</v>
      </c>
      <c r="H12" s="4"/>
    </row>
    <row r="13" spans="1:8" x14ac:dyDescent="0.25">
      <c r="A13" s="4" t="s">
        <v>43</v>
      </c>
      <c r="B13" s="4" t="s">
        <v>44</v>
      </c>
      <c r="C13" s="3">
        <v>100</v>
      </c>
      <c r="D13" s="4" t="s">
        <v>21</v>
      </c>
      <c r="E13" s="4" t="s">
        <v>17</v>
      </c>
      <c r="F13" s="4" t="s">
        <v>31</v>
      </c>
      <c r="G13" s="7">
        <v>46291.678252314814</v>
      </c>
      <c r="H13" s="4"/>
    </row>
    <row r="14" spans="1:8" x14ac:dyDescent="0.25">
      <c r="A14" s="4" t="s">
        <v>45</v>
      </c>
      <c r="B14" s="4" t="s">
        <v>46</v>
      </c>
      <c r="C14" s="3">
        <v>200</v>
      </c>
      <c r="D14" s="4" t="s">
        <v>21</v>
      </c>
      <c r="E14" s="4" t="s">
        <v>17</v>
      </c>
      <c r="F14" s="4" t="s">
        <v>31</v>
      </c>
      <c r="G14" s="7">
        <v>46291.678252314814</v>
      </c>
      <c r="H14" s="4"/>
    </row>
    <row r="15" spans="1:8" x14ac:dyDescent="0.25">
      <c r="A15" s="4" t="s">
        <v>47</v>
      </c>
      <c r="B15" s="4" t="s">
        <v>48</v>
      </c>
      <c r="C15" s="3">
        <v>41</v>
      </c>
      <c r="D15" s="4" t="s">
        <v>21</v>
      </c>
      <c r="E15" s="4" t="s">
        <v>17</v>
      </c>
      <c r="F15" s="4" t="s">
        <v>18</v>
      </c>
      <c r="G15" s="7">
        <v>46291.678252314814</v>
      </c>
      <c r="H15" s="4"/>
    </row>
    <row r="16" spans="1:8" x14ac:dyDescent="0.25">
      <c r="A16" s="4" t="s">
        <v>49</v>
      </c>
      <c r="B16" s="4" t="s">
        <v>50</v>
      </c>
      <c r="C16" s="3">
        <v>34</v>
      </c>
      <c r="D16" s="4" t="s">
        <v>21</v>
      </c>
      <c r="E16" s="4" t="s">
        <v>17</v>
      </c>
      <c r="F16" s="4" t="s">
        <v>18</v>
      </c>
      <c r="G16" s="7">
        <v>46291.678252314814</v>
      </c>
      <c r="H16" s="4"/>
    </row>
    <row r="17" spans="1:8" x14ac:dyDescent="0.25">
      <c r="A17" s="4" t="s">
        <v>51</v>
      </c>
      <c r="B17" s="4" t="s">
        <v>52</v>
      </c>
      <c r="C17" s="3">
        <v>259</v>
      </c>
      <c r="D17" s="4" t="s">
        <v>21</v>
      </c>
      <c r="E17" s="4" t="s">
        <v>17</v>
      </c>
      <c r="F17" s="4" t="s">
        <v>31</v>
      </c>
      <c r="G17" s="7">
        <v>46291.678252314814</v>
      </c>
      <c r="H17" s="4"/>
    </row>
    <row r="18" spans="1:8" x14ac:dyDescent="0.25">
      <c r="A18" s="4" t="s">
        <v>53</v>
      </c>
      <c r="B18" s="4" t="s">
        <v>54</v>
      </c>
      <c r="C18" s="3">
        <v>111</v>
      </c>
      <c r="D18" s="4" t="s">
        <v>21</v>
      </c>
      <c r="E18" s="4" t="s">
        <v>17</v>
      </c>
      <c r="F18" s="4" t="s">
        <v>18</v>
      </c>
      <c r="G18" s="7">
        <v>46291.678252314814</v>
      </c>
      <c r="H18" s="4"/>
    </row>
    <row r="19" spans="1:8" x14ac:dyDescent="0.25">
      <c r="A19" s="4" t="s">
        <v>55</v>
      </c>
      <c r="B19" s="4" t="s">
        <v>56</v>
      </c>
      <c r="C19" s="3">
        <v>160</v>
      </c>
      <c r="D19" s="4" t="s">
        <v>21</v>
      </c>
      <c r="E19" s="4" t="s">
        <v>24</v>
      </c>
      <c r="F19" s="4" t="s">
        <v>18</v>
      </c>
      <c r="G19" s="7">
        <v>46291.678252314814</v>
      </c>
      <c r="H19" s="4"/>
    </row>
    <row r="20" spans="1:8" x14ac:dyDescent="0.25">
      <c r="A20" s="4" t="s">
        <v>57</v>
      </c>
      <c r="B20" s="4" t="s">
        <v>58</v>
      </c>
      <c r="C20" s="3">
        <v>100</v>
      </c>
      <c r="D20" s="4" t="s">
        <v>21</v>
      </c>
      <c r="E20" s="4" t="s">
        <v>17</v>
      </c>
      <c r="F20" s="4" t="s">
        <v>18</v>
      </c>
      <c r="G20" s="7">
        <v>46291.678252314814</v>
      </c>
      <c r="H20" s="4"/>
    </row>
    <row r="21" spans="1:8" x14ac:dyDescent="0.25">
      <c r="A21" s="4" t="s">
        <v>59</v>
      </c>
      <c r="B21" s="4" t="s">
        <v>60</v>
      </c>
      <c r="C21" s="3">
        <v>59</v>
      </c>
      <c r="D21" s="4" t="s">
        <v>21</v>
      </c>
      <c r="E21" s="4" t="s">
        <v>17</v>
      </c>
      <c r="F21" s="4" t="s">
        <v>36</v>
      </c>
      <c r="G21" s="7">
        <v>46291.678252314814</v>
      </c>
      <c r="H21" s="4"/>
    </row>
    <row r="22" spans="1:8" x14ac:dyDescent="0.25">
      <c r="A22" s="4" t="s">
        <v>61</v>
      </c>
      <c r="B22" s="4" t="s">
        <v>62</v>
      </c>
      <c r="C22" s="3">
        <v>81</v>
      </c>
      <c r="D22" s="4" t="s">
        <v>21</v>
      </c>
      <c r="E22" s="4" t="s">
        <v>17</v>
      </c>
      <c r="F22" s="4" t="s">
        <v>18</v>
      </c>
      <c r="G22" s="7">
        <v>46291.678252314814</v>
      </c>
      <c r="H22" s="4"/>
    </row>
    <row r="23" spans="1:8" x14ac:dyDescent="0.25">
      <c r="A23" s="4" t="s">
        <v>63</v>
      </c>
      <c r="B23" s="4" t="s">
        <v>64</v>
      </c>
      <c r="C23" s="3">
        <v>30</v>
      </c>
      <c r="D23" s="4" t="s">
        <v>21</v>
      </c>
      <c r="E23" s="4" t="s">
        <v>24</v>
      </c>
      <c r="F23" s="4" t="s">
        <v>31</v>
      </c>
      <c r="G23" s="7">
        <v>46291.678252314814</v>
      </c>
      <c r="H23" s="8">
        <v>46295.622048090278</v>
      </c>
    </row>
    <row r="24" spans="1:8" x14ac:dyDescent="0.25">
      <c r="A24" s="4" t="s">
        <v>65</v>
      </c>
      <c r="B24" s="4" t="s">
        <v>66</v>
      </c>
      <c r="C24" s="3">
        <v>2928</v>
      </c>
      <c r="D24" s="4" t="s">
        <v>21</v>
      </c>
      <c r="E24" s="4" t="s">
        <v>17</v>
      </c>
      <c r="F24" s="4" t="s">
        <v>31</v>
      </c>
      <c r="G24" s="7">
        <v>46291.678252314814</v>
      </c>
      <c r="H24" s="4"/>
    </row>
    <row r="25" spans="1:8" x14ac:dyDescent="0.25">
      <c r="A25" s="4" t="s">
        <v>67</v>
      </c>
      <c r="B25" s="4" t="s">
        <v>68</v>
      </c>
      <c r="C25" s="3">
        <v>2000</v>
      </c>
      <c r="D25" s="4" t="s">
        <v>21</v>
      </c>
      <c r="E25" s="4" t="s">
        <v>24</v>
      </c>
      <c r="F25" s="4" t="s">
        <v>36</v>
      </c>
      <c r="G25" s="7">
        <v>46291.678252314814</v>
      </c>
      <c r="H25" s="4"/>
    </row>
    <row r="26" spans="1:8" x14ac:dyDescent="0.25">
      <c r="A26" s="4" t="s">
        <v>69</v>
      </c>
      <c r="B26" s="4" t="s">
        <v>70</v>
      </c>
      <c r="C26" s="3">
        <v>1691.94</v>
      </c>
      <c r="D26" s="4" t="s">
        <v>21</v>
      </c>
      <c r="E26" s="4" t="s">
        <v>17</v>
      </c>
      <c r="F26" s="4" t="s">
        <v>31</v>
      </c>
      <c r="G26" s="7">
        <v>46291.678252314814</v>
      </c>
      <c r="H26" s="4"/>
    </row>
    <row r="27" spans="1:8" x14ac:dyDescent="0.25">
      <c r="A27" s="4" t="s">
        <v>71</v>
      </c>
      <c r="B27" s="4" t="s">
        <v>72</v>
      </c>
      <c r="C27" s="3">
        <v>2940</v>
      </c>
      <c r="D27" s="4" t="s">
        <v>21</v>
      </c>
      <c r="E27" s="4" t="s">
        <v>17</v>
      </c>
      <c r="F27" s="4" t="s">
        <v>31</v>
      </c>
      <c r="G27" s="7">
        <v>46291.678252314814</v>
      </c>
      <c r="H27" s="4"/>
    </row>
    <row r="28" spans="1:8" x14ac:dyDescent="0.25">
      <c r="A28" s="6" t="s">
        <v>73</v>
      </c>
      <c r="B28" s="6" t="s">
        <v>74</v>
      </c>
      <c r="C28" s="6">
        <v>600</v>
      </c>
      <c r="D28" s="6" t="s">
        <v>21</v>
      </c>
      <c r="E28" s="6" t="s">
        <v>17</v>
      </c>
      <c r="F28" s="6" t="s">
        <v>36</v>
      </c>
      <c r="G28" s="9">
        <v>46313.308412916667</v>
      </c>
    </row>
    <row r="29" spans="1:8" x14ac:dyDescent="0.25">
      <c r="A29" s="6" t="s">
        <v>75</v>
      </c>
      <c r="B29" s="6" t="s">
        <v>76</v>
      </c>
      <c r="C29" s="6">
        <v>99</v>
      </c>
      <c r="D29" s="6" t="s">
        <v>21</v>
      </c>
      <c r="E29" s="6" t="s">
        <v>17</v>
      </c>
      <c r="F29" s="6" t="s">
        <v>36</v>
      </c>
      <c r="G29" s="9">
        <v>46314.497323449075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00"/>
  <sheetViews>
    <sheetView workbookViewId="0"/>
  </sheetViews>
  <sheetFormatPr defaultColWidth="12.6640625" defaultRowHeight="15.75" customHeight="1" x14ac:dyDescent="0.25"/>
  <cols>
    <col min="1" max="1" width="24.44140625" customWidth="1"/>
    <col min="2" max="2" width="19.44140625" customWidth="1"/>
    <col min="7" max="7" width="25.33203125" customWidth="1"/>
    <col min="8" max="8" width="17.88671875" customWidth="1"/>
    <col min="14" max="14" width="25" customWidth="1"/>
    <col min="15" max="15" width="23.21875" customWidth="1"/>
    <col min="21" max="21" width="16.44140625" customWidth="1"/>
  </cols>
  <sheetData>
    <row r="1" spans="1:18" x14ac:dyDescent="0.25">
      <c r="A1" s="1" t="s">
        <v>0</v>
      </c>
      <c r="B1" s="1" t="s">
        <v>77</v>
      </c>
      <c r="E1" s="1" t="s">
        <v>78</v>
      </c>
      <c r="F1" s="1" t="s">
        <v>0</v>
      </c>
      <c r="G1" s="1" t="s">
        <v>79</v>
      </c>
      <c r="H1" s="1" t="s">
        <v>80</v>
      </c>
      <c r="I1" s="1" t="s">
        <v>81</v>
      </c>
      <c r="J1" s="1" t="s">
        <v>82</v>
      </c>
      <c r="K1" s="10" t="s">
        <v>83</v>
      </c>
      <c r="L1" s="1" t="s">
        <v>84</v>
      </c>
      <c r="N1" s="1" t="s">
        <v>85</v>
      </c>
    </row>
    <row r="2" spans="1:18" x14ac:dyDescent="0.25">
      <c r="A2" s="2">
        <v>46023</v>
      </c>
      <c r="B2" s="3">
        <f>IFERROR(
 ABS(SUMIF(JANEIRO2026!D:D,"Investimentos",JANEIRO2026!G:G)),
 0
)</f>
        <v>100</v>
      </c>
      <c r="E2" s="8">
        <v>46173</v>
      </c>
      <c r="F2" s="8">
        <v>46143</v>
      </c>
      <c r="G2" s="4" t="s">
        <v>86</v>
      </c>
      <c r="H2" s="4" t="s">
        <v>87</v>
      </c>
      <c r="I2" s="4" t="s">
        <v>87</v>
      </c>
      <c r="J2" s="4" t="s">
        <v>88</v>
      </c>
      <c r="K2" s="3">
        <v>1346</v>
      </c>
      <c r="L2" s="4"/>
      <c r="N2" s="1" t="s">
        <v>89</v>
      </c>
    </row>
    <row r="3" spans="1:18" x14ac:dyDescent="0.25">
      <c r="A3" s="2">
        <v>46054</v>
      </c>
      <c r="B3" s="3">
        <f>IFERROR(
 ABS(SUMIF(FEVEREIRO2026!D:D,"Investimentos",FEVEREIRO2026!G:G)),
 0
)</f>
        <v>0</v>
      </c>
      <c r="E3" s="4"/>
      <c r="F3" s="4"/>
      <c r="G3" s="4"/>
      <c r="H3" s="4"/>
      <c r="I3" s="4"/>
      <c r="J3" s="4"/>
      <c r="K3" s="3"/>
      <c r="L3" s="4"/>
      <c r="N3" s="11"/>
      <c r="R3" s="12"/>
    </row>
    <row r="4" spans="1:18" x14ac:dyDescent="0.25">
      <c r="A4" s="2">
        <v>46082</v>
      </c>
      <c r="B4" s="3">
        <f>IFERROR(
 ABS(SUMIF(MARÇO2026!D:D,"Investimentos",FEVEREIRO2026!G:G)),
 0
)</f>
        <v>0</v>
      </c>
      <c r="E4" s="4"/>
      <c r="F4" s="4"/>
      <c r="G4" s="4"/>
      <c r="H4" s="4"/>
      <c r="I4" s="4"/>
      <c r="J4" s="4"/>
      <c r="K4" s="3"/>
      <c r="L4" s="4"/>
      <c r="R4" s="12"/>
    </row>
    <row r="5" spans="1:18" x14ac:dyDescent="0.25">
      <c r="A5" s="2">
        <v>46113</v>
      </c>
      <c r="B5" s="3">
        <f>IFERROR(
 ABS(SUMIF(ABRIL2026!D:D,"Investimentos",FEVEREIRO2026!G:G)),
 0
)</f>
        <v>0</v>
      </c>
      <c r="E5" s="4"/>
      <c r="F5" s="4"/>
      <c r="G5" s="4"/>
      <c r="H5" s="4"/>
      <c r="I5" s="4"/>
      <c r="J5" s="4"/>
      <c r="K5" s="3"/>
      <c r="L5" s="4"/>
      <c r="N5" s="1" t="s">
        <v>79</v>
      </c>
      <c r="O5" s="1" t="s">
        <v>90</v>
      </c>
      <c r="R5" s="12"/>
    </row>
    <row r="6" spans="1:18" x14ac:dyDescent="0.25">
      <c r="A6" s="2">
        <v>46143</v>
      </c>
      <c r="B6" s="3">
        <f>IFERROR(
 ABS(SUMIF(MAIO2026!D:D,"Investimentos",FEVEREIRO2026!G:G)),
 0
)</f>
        <v>0</v>
      </c>
      <c r="E6" s="4"/>
      <c r="F6" s="4"/>
      <c r="G6" s="4"/>
      <c r="H6" s="4"/>
      <c r="I6" s="4"/>
      <c r="J6" s="4"/>
      <c r="K6" s="3"/>
      <c r="L6" s="4"/>
      <c r="N6" s="4" t="s">
        <v>86</v>
      </c>
      <c r="O6" s="3">
        <f t="shared" ref="O6:O10" si="0">SUMIFS(
 K:K,
 F:F, $N$3,
 G:G, N6
)</f>
        <v>0</v>
      </c>
      <c r="R6" s="12"/>
    </row>
    <row r="7" spans="1:18" x14ac:dyDescent="0.25">
      <c r="A7" s="2">
        <v>46174</v>
      </c>
      <c r="B7" s="3">
        <f>IFERROR(
 ABS(SUMIF(JUNHO2026!D:D,"Investimentos",FEVEREIRO2026!G:G)),
 0
)</f>
        <v>0</v>
      </c>
      <c r="E7" s="4"/>
      <c r="F7" s="4"/>
      <c r="G7" s="4"/>
      <c r="H7" s="4"/>
      <c r="I7" s="4"/>
      <c r="J7" s="4"/>
      <c r="K7" s="3"/>
      <c r="L7" s="4"/>
      <c r="N7" s="4" t="s">
        <v>91</v>
      </c>
      <c r="O7" s="3">
        <f t="shared" si="0"/>
        <v>0</v>
      </c>
      <c r="R7" s="12"/>
    </row>
    <row r="8" spans="1:18" x14ac:dyDescent="0.25">
      <c r="A8" s="2">
        <v>46204</v>
      </c>
      <c r="B8" s="3">
        <f>IFERROR(
 ABS(SUMIF(JULHO2026!D:D,"Investimentos",FEVEREIRO2026!G:G)),
 0
)</f>
        <v>0</v>
      </c>
      <c r="E8" s="4"/>
      <c r="F8" s="4"/>
      <c r="G8" s="4"/>
      <c r="H8" s="4"/>
      <c r="I8" s="4"/>
      <c r="J8" s="4"/>
      <c r="K8" s="3"/>
      <c r="L8" s="4"/>
      <c r="N8" s="4" t="s">
        <v>92</v>
      </c>
      <c r="O8" s="3">
        <f t="shared" si="0"/>
        <v>0</v>
      </c>
    </row>
    <row r="9" spans="1:18" x14ac:dyDescent="0.25">
      <c r="A9" s="2">
        <v>46235</v>
      </c>
      <c r="B9" s="3">
        <f>IFERROR(
 ABS(SUMIF(AGOSTO2026!D:D,"Investimentos",FEVEREIRO2026!G:G)),
 0
)</f>
        <v>0</v>
      </c>
      <c r="E9" s="4"/>
      <c r="F9" s="4"/>
      <c r="G9" s="4"/>
      <c r="H9" s="4"/>
      <c r="I9" s="4"/>
      <c r="J9" s="4"/>
      <c r="K9" s="3"/>
      <c r="L9" s="4"/>
      <c r="N9" s="4" t="s">
        <v>93</v>
      </c>
      <c r="O9" s="3">
        <f t="shared" si="0"/>
        <v>0</v>
      </c>
    </row>
    <row r="10" spans="1:18" x14ac:dyDescent="0.25">
      <c r="A10" s="2">
        <v>46266</v>
      </c>
      <c r="B10" s="3">
        <f>IFERROR(
 ABS(SUMIF(SETEMBRO2026!D:D,"Investimentos",FEVEREIRO2026!G:G)),
 0
)</f>
        <v>0</v>
      </c>
      <c r="E10" s="4"/>
      <c r="F10" s="4"/>
      <c r="G10" s="4"/>
      <c r="H10" s="4"/>
      <c r="I10" s="4"/>
      <c r="J10" s="4"/>
      <c r="K10" s="3"/>
      <c r="L10" s="4"/>
      <c r="N10" s="4" t="s">
        <v>94</v>
      </c>
      <c r="O10" s="3">
        <f t="shared" si="0"/>
        <v>0</v>
      </c>
    </row>
    <row r="11" spans="1:18" x14ac:dyDescent="0.25">
      <c r="A11" s="2">
        <v>46296</v>
      </c>
      <c r="B11" s="3">
        <f>IFERROR(
 ABS(SUMIF(OUTUBRO2026!D:D,"Investimentos",FEVEREIRO2026!G:G)),
 0
)</f>
        <v>0</v>
      </c>
      <c r="E11" s="4"/>
      <c r="F11" s="4"/>
      <c r="G11" s="4"/>
      <c r="H11" s="4"/>
      <c r="I11" s="4"/>
      <c r="J11" s="4"/>
      <c r="K11" s="3"/>
      <c r="L11" s="4"/>
      <c r="N11" s="4"/>
      <c r="O11" s="3"/>
    </row>
    <row r="12" spans="1:18" x14ac:dyDescent="0.25">
      <c r="A12" s="2">
        <v>46327</v>
      </c>
      <c r="B12" s="3">
        <f>IFERROR(
 ABS(SUMIF(NOVEMBRO2026!D:D,"Investimentos",FEVEREIRO2026!G:G)),
 0
)</f>
        <v>0</v>
      </c>
      <c r="E12" s="4"/>
      <c r="F12" s="4"/>
      <c r="G12" s="4"/>
      <c r="H12" s="4"/>
      <c r="I12" s="4"/>
      <c r="J12" s="4"/>
      <c r="K12" s="3"/>
      <c r="L12" s="4"/>
      <c r="N12" s="4" t="s">
        <v>95</v>
      </c>
      <c r="O12" s="3">
        <f>SUMIF(
 F:F,
 $N$3,
 K:K
)</f>
        <v>0</v>
      </c>
    </row>
    <row r="13" spans="1:18" x14ac:dyDescent="0.25">
      <c r="A13" s="2">
        <v>46357</v>
      </c>
      <c r="B13" s="3">
        <f>IFERROR(
 ABS(SUMIF(DEZEMBRO2026!D:D,"Investimentos",FEVEREIRO2026!G:G)),
 0
)</f>
        <v>0</v>
      </c>
      <c r="E13" s="4"/>
      <c r="F13" s="4"/>
      <c r="G13" s="4"/>
      <c r="H13" s="4"/>
      <c r="I13" s="4"/>
      <c r="J13" s="4"/>
      <c r="K13" s="3"/>
      <c r="L13" s="4"/>
    </row>
    <row r="14" spans="1:18" x14ac:dyDescent="0.25">
      <c r="A14" s="2">
        <v>46388</v>
      </c>
      <c r="B14" s="3"/>
      <c r="E14" s="4"/>
      <c r="F14" s="4"/>
      <c r="G14" s="4"/>
      <c r="H14" s="4"/>
      <c r="I14" s="4"/>
      <c r="J14" s="4"/>
      <c r="K14" s="3"/>
      <c r="L14" s="4"/>
    </row>
    <row r="15" spans="1:18" x14ac:dyDescent="0.25">
      <c r="A15" s="2">
        <v>46419</v>
      </c>
      <c r="B15" s="3"/>
      <c r="E15" s="4"/>
      <c r="F15" s="4"/>
      <c r="G15" s="4"/>
      <c r="H15" s="4"/>
      <c r="I15" s="4"/>
      <c r="J15" s="4"/>
      <c r="K15" s="3"/>
      <c r="L15" s="4"/>
    </row>
    <row r="16" spans="1:18" x14ac:dyDescent="0.25">
      <c r="A16" s="2">
        <v>46447</v>
      </c>
      <c r="B16" s="3"/>
      <c r="E16" s="4"/>
      <c r="F16" s="4"/>
      <c r="G16" s="4"/>
      <c r="H16" s="4"/>
      <c r="I16" s="4"/>
      <c r="J16" s="4"/>
      <c r="K16" s="3"/>
      <c r="L16" s="4"/>
    </row>
    <row r="17" spans="1:19" x14ac:dyDescent="0.25">
      <c r="A17" s="2">
        <v>46478</v>
      </c>
      <c r="B17" s="3"/>
      <c r="E17" s="4"/>
      <c r="F17" s="4"/>
      <c r="G17" s="4"/>
      <c r="H17" s="4"/>
      <c r="I17" s="4"/>
      <c r="J17" s="4"/>
      <c r="K17" s="3"/>
      <c r="L17" s="4"/>
      <c r="N17" s="1" t="s">
        <v>96</v>
      </c>
      <c r="O17" s="1" t="s">
        <v>97</v>
      </c>
      <c r="P17" s="1" t="s">
        <v>98</v>
      </c>
    </row>
    <row r="18" spans="1:19" x14ac:dyDescent="0.25">
      <c r="A18" s="2">
        <v>46508</v>
      </c>
      <c r="B18" s="3"/>
      <c r="E18" s="4"/>
      <c r="F18" s="4"/>
      <c r="G18" s="4"/>
      <c r="H18" s="4"/>
      <c r="I18" s="4"/>
      <c r="J18" s="4"/>
      <c r="K18" s="3"/>
      <c r="L18" s="4"/>
      <c r="N18" s="4" t="s">
        <v>86</v>
      </c>
      <c r="O18" s="3">
        <f t="shared" ref="O18:O22" si="1">SUMIF(
 G:G,
 N18,
 K:K
)</f>
        <v>1346</v>
      </c>
      <c r="P18" s="13">
        <f t="shared" ref="P18:P23" si="2">O18/$O$23</f>
        <v>1</v>
      </c>
    </row>
    <row r="19" spans="1:19" x14ac:dyDescent="0.25">
      <c r="A19" s="2">
        <v>46539</v>
      </c>
      <c r="B19" s="3"/>
      <c r="E19" s="4"/>
      <c r="F19" s="4"/>
      <c r="G19" s="4"/>
      <c r="H19" s="4"/>
      <c r="I19" s="4"/>
      <c r="J19" s="4"/>
      <c r="K19" s="3"/>
      <c r="L19" s="4"/>
      <c r="N19" s="4" t="s">
        <v>91</v>
      </c>
      <c r="O19" s="3">
        <f t="shared" si="1"/>
        <v>0</v>
      </c>
      <c r="P19" s="13">
        <f t="shared" si="2"/>
        <v>0</v>
      </c>
    </row>
    <row r="20" spans="1:19" x14ac:dyDescent="0.25">
      <c r="A20" s="2">
        <v>46569</v>
      </c>
      <c r="B20" s="3"/>
      <c r="E20" s="4"/>
      <c r="F20" s="4"/>
      <c r="G20" s="4"/>
      <c r="H20" s="4"/>
      <c r="I20" s="4"/>
      <c r="J20" s="4"/>
      <c r="K20" s="3"/>
      <c r="L20" s="4"/>
      <c r="N20" s="4" t="s">
        <v>92</v>
      </c>
      <c r="O20" s="3">
        <f t="shared" si="1"/>
        <v>0</v>
      </c>
      <c r="P20" s="13">
        <f t="shared" si="2"/>
        <v>0</v>
      </c>
    </row>
    <row r="21" spans="1:19" x14ac:dyDescent="0.25">
      <c r="A21" s="2">
        <v>46600</v>
      </c>
      <c r="B21" s="3"/>
      <c r="E21" s="4"/>
      <c r="F21" s="4"/>
      <c r="G21" s="4"/>
      <c r="H21" s="4"/>
      <c r="I21" s="4"/>
      <c r="J21" s="4"/>
      <c r="K21" s="3"/>
      <c r="L21" s="4"/>
      <c r="N21" s="4" t="s">
        <v>93</v>
      </c>
      <c r="O21" s="3">
        <f t="shared" si="1"/>
        <v>0</v>
      </c>
      <c r="P21" s="13">
        <f t="shared" si="2"/>
        <v>0</v>
      </c>
    </row>
    <row r="22" spans="1:19" x14ac:dyDescent="0.25">
      <c r="A22" s="2">
        <v>46631</v>
      </c>
      <c r="B22" s="3"/>
      <c r="E22" s="4"/>
      <c r="F22" s="4"/>
      <c r="G22" s="4"/>
      <c r="H22" s="4"/>
      <c r="I22" s="4"/>
      <c r="J22" s="4"/>
      <c r="K22" s="3"/>
      <c r="L22" s="4"/>
      <c r="N22" s="4" t="s">
        <v>94</v>
      </c>
      <c r="O22" s="3">
        <f t="shared" si="1"/>
        <v>0</v>
      </c>
      <c r="P22" s="13">
        <f t="shared" si="2"/>
        <v>0</v>
      </c>
    </row>
    <row r="23" spans="1:19" x14ac:dyDescent="0.25">
      <c r="A23" s="2">
        <v>46661</v>
      </c>
      <c r="B23" s="3"/>
      <c r="E23" s="4"/>
      <c r="F23" s="4"/>
      <c r="G23" s="4"/>
      <c r="H23" s="4"/>
      <c r="I23" s="4"/>
      <c r="J23" s="4"/>
      <c r="K23" s="3"/>
      <c r="L23" s="4"/>
      <c r="N23" s="4" t="s">
        <v>99</v>
      </c>
      <c r="O23" s="3">
        <f>SUM(K:K)</f>
        <v>1346</v>
      </c>
      <c r="P23" s="13">
        <f t="shared" si="2"/>
        <v>1</v>
      </c>
    </row>
    <row r="24" spans="1:19" x14ac:dyDescent="0.25">
      <c r="A24" s="2">
        <v>46692</v>
      </c>
      <c r="B24" s="3"/>
      <c r="E24" s="4"/>
      <c r="F24" s="4"/>
      <c r="G24" s="4"/>
      <c r="H24" s="4"/>
      <c r="I24" s="4"/>
      <c r="J24" s="4"/>
      <c r="K24" s="3"/>
      <c r="L24" s="4"/>
    </row>
    <row r="25" spans="1:19" x14ac:dyDescent="0.25">
      <c r="A25" s="2">
        <v>46722</v>
      </c>
      <c r="B25" s="3"/>
      <c r="E25" s="4"/>
      <c r="F25" s="4"/>
      <c r="G25" s="4"/>
      <c r="H25" s="4"/>
      <c r="I25" s="4"/>
      <c r="J25" s="4"/>
      <c r="K25" s="3"/>
      <c r="L25" s="4"/>
    </row>
    <row r="26" spans="1:19" x14ac:dyDescent="0.25">
      <c r="A26" s="2">
        <v>46753</v>
      </c>
      <c r="B26" s="3"/>
      <c r="E26" s="4"/>
      <c r="F26" s="4"/>
      <c r="G26" s="4"/>
      <c r="H26" s="4"/>
      <c r="I26" s="4"/>
      <c r="J26" s="4"/>
      <c r="K26" s="3"/>
      <c r="L26" s="4"/>
    </row>
    <row r="27" spans="1:19" x14ac:dyDescent="0.25">
      <c r="E27" s="4"/>
      <c r="F27" s="4"/>
      <c r="G27" s="4"/>
      <c r="H27" s="4"/>
      <c r="I27" s="4"/>
      <c r="J27" s="4"/>
      <c r="K27" s="3"/>
      <c r="L27" s="4"/>
      <c r="N27" s="14" t="s">
        <v>100</v>
      </c>
    </row>
    <row r="28" spans="1:19" x14ac:dyDescent="0.25">
      <c r="E28" s="4"/>
      <c r="F28" s="4"/>
      <c r="G28" s="4"/>
      <c r="H28" s="4"/>
      <c r="I28" s="4"/>
      <c r="J28" s="4"/>
      <c r="K28" s="3"/>
      <c r="L28" s="4"/>
      <c r="N28" s="11"/>
    </row>
    <row r="29" spans="1:19" x14ac:dyDescent="0.25">
      <c r="E29" s="4"/>
      <c r="F29" s="4"/>
      <c r="G29" s="4"/>
      <c r="H29" s="4"/>
      <c r="I29" s="4"/>
      <c r="J29" s="4"/>
      <c r="K29" s="3"/>
      <c r="L29" s="4"/>
      <c r="N29" s="15"/>
      <c r="O29" s="15"/>
    </row>
    <row r="30" spans="1:19" x14ac:dyDescent="0.25">
      <c r="E30" s="4"/>
      <c r="F30" s="4"/>
      <c r="G30" s="4"/>
      <c r="H30" s="4"/>
      <c r="I30" s="4"/>
      <c r="J30" s="4"/>
      <c r="K30" s="3"/>
      <c r="L30" s="4"/>
      <c r="N30" s="1" t="s">
        <v>77</v>
      </c>
      <c r="O30" s="3">
        <f>IFERROR(VLOOKUP(N28,A:B,2,FALSE),0)</f>
        <v>0</v>
      </c>
    </row>
    <row r="31" spans="1:19" x14ac:dyDescent="0.25">
      <c r="E31" s="4"/>
      <c r="F31" s="4"/>
      <c r="G31" s="4"/>
      <c r="H31" s="4"/>
      <c r="I31" s="4"/>
      <c r="J31" s="4"/>
      <c r="K31" s="3"/>
      <c r="L31" s="4"/>
    </row>
    <row r="32" spans="1:19" x14ac:dyDescent="0.25">
      <c r="E32" s="4"/>
      <c r="F32" s="4"/>
      <c r="G32" s="4"/>
      <c r="H32" s="4"/>
      <c r="I32" s="4"/>
      <c r="J32" s="4"/>
      <c r="K32" s="3"/>
      <c r="L32" s="4"/>
      <c r="N32" s="1" t="s">
        <v>79</v>
      </c>
      <c r="O32" s="1" t="s">
        <v>101</v>
      </c>
      <c r="P32" s="1" t="s">
        <v>102</v>
      </c>
      <c r="Q32" s="1" t="s">
        <v>103</v>
      </c>
      <c r="R32" s="1" t="s">
        <v>104</v>
      </c>
      <c r="S32" s="1" t="s">
        <v>105</v>
      </c>
    </row>
    <row r="33" spans="5:19" x14ac:dyDescent="0.25">
      <c r="E33" s="4"/>
      <c r="F33" s="4"/>
      <c r="G33" s="4"/>
      <c r="H33" s="4"/>
      <c r="I33" s="4"/>
      <c r="J33" s="4"/>
      <c r="K33" s="3"/>
      <c r="L33" s="4"/>
      <c r="N33" s="4" t="s">
        <v>86</v>
      </c>
      <c r="O33" s="13">
        <v>0.6</v>
      </c>
      <c r="P33" s="3">
        <f t="shared" ref="P33:P37" si="3">O33*$O$30</f>
        <v>0</v>
      </c>
      <c r="Q33" s="3">
        <f t="shared" ref="Q33:Q37" si="4">SUMIFS(
 K:K,
 F:F, $N$28,
 G:G, N33
)</f>
        <v>0</v>
      </c>
      <c r="R33" s="3">
        <f t="shared" ref="R33:R37" si="5">P33-Q33</f>
        <v>0</v>
      </c>
      <c r="S33" s="13">
        <f t="shared" ref="S33:S37" si="6">IF(P33&gt;0,Q33/P33,0)</f>
        <v>0</v>
      </c>
    </row>
    <row r="34" spans="5:19" x14ac:dyDescent="0.25">
      <c r="E34" s="4"/>
      <c r="F34" s="4"/>
      <c r="G34" s="4"/>
      <c r="H34" s="4"/>
      <c r="I34" s="4"/>
      <c r="J34" s="4"/>
      <c r="K34" s="3"/>
      <c r="L34" s="4"/>
      <c r="N34" s="4" t="s">
        <v>91</v>
      </c>
      <c r="O34" s="13">
        <v>0.1</v>
      </c>
      <c r="P34" s="3">
        <f t="shared" si="3"/>
        <v>0</v>
      </c>
      <c r="Q34" s="3">
        <f t="shared" si="4"/>
        <v>0</v>
      </c>
      <c r="R34" s="3">
        <f t="shared" si="5"/>
        <v>0</v>
      </c>
      <c r="S34" s="13">
        <f t="shared" si="6"/>
        <v>0</v>
      </c>
    </row>
    <row r="35" spans="5:19" x14ac:dyDescent="0.25">
      <c r="E35" s="4"/>
      <c r="F35" s="4"/>
      <c r="G35" s="4"/>
      <c r="H35" s="4"/>
      <c r="I35" s="4"/>
      <c r="J35" s="4"/>
      <c r="K35" s="3"/>
      <c r="L35" s="4"/>
      <c r="N35" s="4" t="s">
        <v>92</v>
      </c>
      <c r="O35" s="13">
        <v>0.1</v>
      </c>
      <c r="P35" s="3">
        <f t="shared" si="3"/>
        <v>0</v>
      </c>
      <c r="Q35" s="3">
        <f t="shared" si="4"/>
        <v>0</v>
      </c>
      <c r="R35" s="3">
        <f t="shared" si="5"/>
        <v>0</v>
      </c>
      <c r="S35" s="13">
        <f t="shared" si="6"/>
        <v>0</v>
      </c>
    </row>
    <row r="36" spans="5:19" x14ac:dyDescent="0.25">
      <c r="E36" s="4"/>
      <c r="F36" s="4"/>
      <c r="G36" s="4"/>
      <c r="H36" s="4"/>
      <c r="I36" s="4"/>
      <c r="J36" s="4"/>
      <c r="K36" s="3"/>
      <c r="L36" s="4"/>
      <c r="N36" s="4" t="s">
        <v>93</v>
      </c>
      <c r="O36" s="13">
        <v>0.1</v>
      </c>
      <c r="P36" s="3">
        <f t="shared" si="3"/>
        <v>0</v>
      </c>
      <c r="Q36" s="3">
        <f t="shared" si="4"/>
        <v>0</v>
      </c>
      <c r="R36" s="3">
        <f t="shared" si="5"/>
        <v>0</v>
      </c>
      <c r="S36" s="13">
        <f t="shared" si="6"/>
        <v>0</v>
      </c>
    </row>
    <row r="37" spans="5:19" x14ac:dyDescent="0.25">
      <c r="E37" s="4"/>
      <c r="F37" s="4"/>
      <c r="G37" s="4"/>
      <c r="H37" s="4"/>
      <c r="I37" s="4"/>
      <c r="J37" s="4"/>
      <c r="K37" s="3"/>
      <c r="L37" s="4"/>
      <c r="N37" s="4" t="s">
        <v>94</v>
      </c>
      <c r="O37" s="13">
        <v>0.1</v>
      </c>
      <c r="P37" s="3">
        <f t="shared" si="3"/>
        <v>0</v>
      </c>
      <c r="Q37" s="3">
        <f t="shared" si="4"/>
        <v>0</v>
      </c>
      <c r="R37" s="3">
        <f t="shared" si="5"/>
        <v>0</v>
      </c>
      <c r="S37" s="13">
        <f t="shared" si="6"/>
        <v>0</v>
      </c>
    </row>
    <row r="38" spans="5:19" x14ac:dyDescent="0.25">
      <c r="E38" s="4"/>
      <c r="F38" s="4"/>
      <c r="G38" s="4"/>
      <c r="H38" s="4"/>
      <c r="I38" s="4"/>
      <c r="J38" s="4"/>
      <c r="K38" s="3"/>
      <c r="L38" s="4"/>
    </row>
    <row r="39" spans="5:19" x14ac:dyDescent="0.25">
      <c r="E39" s="4"/>
      <c r="F39" s="4"/>
      <c r="G39" s="4"/>
      <c r="H39" s="4"/>
      <c r="I39" s="4"/>
      <c r="J39" s="4"/>
      <c r="K39" s="3"/>
      <c r="L39" s="4"/>
    </row>
    <row r="40" spans="5:19" x14ac:dyDescent="0.25">
      <c r="E40" s="4"/>
      <c r="F40" s="4"/>
      <c r="G40" s="4"/>
      <c r="H40" s="4"/>
      <c r="I40" s="4"/>
      <c r="J40" s="4"/>
      <c r="K40" s="3"/>
      <c r="L40" s="4"/>
    </row>
    <row r="41" spans="5:19" x14ac:dyDescent="0.25">
      <c r="E41" s="4"/>
      <c r="F41" s="4"/>
      <c r="G41" s="4"/>
      <c r="H41" s="4"/>
      <c r="I41" s="4"/>
      <c r="J41" s="4"/>
      <c r="K41" s="3"/>
      <c r="L41" s="4"/>
    </row>
    <row r="42" spans="5:19" x14ac:dyDescent="0.25">
      <c r="E42" s="4"/>
      <c r="F42" s="4"/>
      <c r="G42" s="4"/>
      <c r="H42" s="4"/>
      <c r="I42" s="4"/>
      <c r="J42" s="4"/>
      <c r="K42" s="3"/>
      <c r="L42" s="4"/>
    </row>
    <row r="43" spans="5:19" x14ac:dyDescent="0.25">
      <c r="E43" s="4"/>
      <c r="F43" s="4"/>
      <c r="G43" s="4"/>
      <c r="H43" s="4"/>
      <c r="I43" s="4"/>
      <c r="J43" s="4"/>
      <c r="K43" s="3"/>
      <c r="L43" s="4"/>
    </row>
    <row r="44" spans="5:19" x14ac:dyDescent="0.25">
      <c r="E44" s="4"/>
      <c r="F44" s="4"/>
      <c r="G44" s="4"/>
      <c r="H44" s="4"/>
      <c r="I44" s="4"/>
      <c r="J44" s="4"/>
      <c r="K44" s="3"/>
      <c r="L44" s="4"/>
    </row>
    <row r="45" spans="5:19" x14ac:dyDescent="0.25">
      <c r="E45" s="4"/>
      <c r="F45" s="4"/>
      <c r="G45" s="4"/>
      <c r="H45" s="4"/>
      <c r="I45" s="4"/>
      <c r="J45" s="4"/>
      <c r="K45" s="3"/>
      <c r="L45" s="4"/>
    </row>
    <row r="46" spans="5:19" x14ac:dyDescent="0.25">
      <c r="E46" s="4"/>
      <c r="F46" s="4"/>
      <c r="G46" s="4"/>
      <c r="H46" s="4"/>
      <c r="I46" s="4"/>
      <c r="J46" s="4"/>
      <c r="K46" s="3"/>
      <c r="L46" s="4"/>
    </row>
    <row r="47" spans="5:19" x14ac:dyDescent="0.25">
      <c r="E47" s="4"/>
      <c r="F47" s="4"/>
      <c r="G47" s="4"/>
      <c r="H47" s="4"/>
      <c r="I47" s="4"/>
      <c r="J47" s="4"/>
      <c r="K47" s="3"/>
      <c r="L47" s="4"/>
    </row>
    <row r="48" spans="5:19" x14ac:dyDescent="0.25">
      <c r="E48" s="4"/>
      <c r="F48" s="4"/>
      <c r="G48" s="4"/>
      <c r="H48" s="4"/>
      <c r="I48" s="4"/>
      <c r="J48" s="4"/>
      <c r="K48" s="3"/>
      <c r="L48" s="4"/>
    </row>
    <row r="49" spans="1:12" x14ac:dyDescent="0.25">
      <c r="E49" s="4"/>
      <c r="F49" s="4"/>
      <c r="G49" s="4"/>
      <c r="H49" s="4"/>
      <c r="I49" s="4"/>
      <c r="J49" s="4"/>
      <c r="K49" s="3"/>
      <c r="L49" s="4"/>
    </row>
    <row r="50" spans="1:12" x14ac:dyDescent="0.25">
      <c r="K50" s="16"/>
    </row>
    <row r="51" spans="1:12" x14ac:dyDescent="0.25">
      <c r="A51" s="6" t="s">
        <v>106</v>
      </c>
      <c r="K51" s="16"/>
    </row>
    <row r="52" spans="1:12" x14ac:dyDescent="0.25">
      <c r="K52" s="16"/>
    </row>
    <row r="53" spans="1:12" x14ac:dyDescent="0.25">
      <c r="K53" s="16"/>
    </row>
    <row r="54" spans="1:12" x14ac:dyDescent="0.25">
      <c r="K54" s="16"/>
    </row>
    <row r="55" spans="1:12" x14ac:dyDescent="0.25">
      <c r="K55" s="16"/>
    </row>
    <row r="56" spans="1:12" x14ac:dyDescent="0.25">
      <c r="K56" s="16"/>
    </row>
    <row r="57" spans="1:12" x14ac:dyDescent="0.25">
      <c r="K57" s="16"/>
    </row>
    <row r="58" spans="1:12" x14ac:dyDescent="0.25">
      <c r="K58" s="16"/>
    </row>
    <row r="59" spans="1:12" x14ac:dyDescent="0.25">
      <c r="K59" s="16"/>
    </row>
    <row r="60" spans="1:12" x14ac:dyDescent="0.25">
      <c r="K60" s="16"/>
    </row>
    <row r="61" spans="1:12" x14ac:dyDescent="0.25">
      <c r="K61" s="16"/>
    </row>
    <row r="62" spans="1:12" x14ac:dyDescent="0.25">
      <c r="K62" s="16"/>
    </row>
    <row r="63" spans="1:12" x14ac:dyDescent="0.25">
      <c r="K63" s="16"/>
    </row>
    <row r="64" spans="1:12" x14ac:dyDescent="0.25">
      <c r="K64" s="16"/>
    </row>
    <row r="65" spans="11:11" x14ac:dyDescent="0.25">
      <c r="K65" s="16"/>
    </row>
    <row r="66" spans="11:11" x14ac:dyDescent="0.25">
      <c r="K66" s="16"/>
    </row>
    <row r="67" spans="11:11" x14ac:dyDescent="0.25">
      <c r="K67" s="16"/>
    </row>
    <row r="68" spans="11:11" x14ac:dyDescent="0.25">
      <c r="K68" s="16"/>
    </row>
    <row r="69" spans="11:11" x14ac:dyDescent="0.25">
      <c r="K69" s="16"/>
    </row>
    <row r="70" spans="11:11" x14ac:dyDescent="0.25">
      <c r="K70" s="16"/>
    </row>
    <row r="71" spans="11:11" x14ac:dyDescent="0.25">
      <c r="K71" s="16"/>
    </row>
    <row r="72" spans="11:11" x14ac:dyDescent="0.25">
      <c r="K72" s="16"/>
    </row>
    <row r="73" spans="11:11" x14ac:dyDescent="0.25">
      <c r="K73" s="16"/>
    </row>
    <row r="74" spans="11:11" x14ac:dyDescent="0.25">
      <c r="K74" s="16"/>
    </row>
    <row r="75" spans="11:11" x14ac:dyDescent="0.25">
      <c r="K75" s="16"/>
    </row>
    <row r="76" spans="11:11" x14ac:dyDescent="0.25">
      <c r="K76" s="16"/>
    </row>
    <row r="77" spans="11:11" x14ac:dyDescent="0.25">
      <c r="K77" s="16"/>
    </row>
    <row r="78" spans="11:11" x14ac:dyDescent="0.25">
      <c r="K78" s="16"/>
    </row>
    <row r="79" spans="11:11" x14ac:dyDescent="0.25">
      <c r="K79" s="16"/>
    </row>
    <row r="80" spans="11:11" x14ac:dyDescent="0.25">
      <c r="K80" s="16"/>
    </row>
    <row r="81" spans="11:11" x14ac:dyDescent="0.25">
      <c r="K81" s="16"/>
    </row>
    <row r="82" spans="11:11" x14ac:dyDescent="0.25">
      <c r="K82" s="16"/>
    </row>
    <row r="83" spans="11:11" x14ac:dyDescent="0.25">
      <c r="K83" s="16"/>
    </row>
    <row r="84" spans="11:11" x14ac:dyDescent="0.25">
      <c r="K84" s="16"/>
    </row>
    <row r="85" spans="11:11" x14ac:dyDescent="0.25">
      <c r="K85" s="16"/>
    </row>
    <row r="86" spans="11:11" x14ac:dyDescent="0.25">
      <c r="K86" s="16"/>
    </row>
    <row r="87" spans="11:11" x14ac:dyDescent="0.25">
      <c r="K87" s="16"/>
    </row>
    <row r="88" spans="11:11" x14ac:dyDescent="0.25">
      <c r="K88" s="16"/>
    </row>
    <row r="89" spans="11:11" x14ac:dyDescent="0.25">
      <c r="K89" s="16"/>
    </row>
    <row r="90" spans="11:11" x14ac:dyDescent="0.25">
      <c r="K90" s="16"/>
    </row>
    <row r="91" spans="11:11" x14ac:dyDescent="0.25">
      <c r="K91" s="16"/>
    </row>
    <row r="92" spans="11:11" x14ac:dyDescent="0.25">
      <c r="K92" s="16"/>
    </row>
    <row r="93" spans="11:11" x14ac:dyDescent="0.25">
      <c r="K93" s="16"/>
    </row>
    <row r="94" spans="11:11" x14ac:dyDescent="0.25">
      <c r="K94" s="16"/>
    </row>
    <row r="95" spans="11:11" x14ac:dyDescent="0.25">
      <c r="K95" s="16"/>
    </row>
    <row r="96" spans="11:11" x14ac:dyDescent="0.25">
      <c r="K96" s="16"/>
    </row>
    <row r="97" spans="11:11" x14ac:dyDescent="0.25">
      <c r="K97" s="16"/>
    </row>
    <row r="98" spans="11:11" x14ac:dyDescent="0.25">
      <c r="K98" s="16"/>
    </row>
    <row r="99" spans="11:11" x14ac:dyDescent="0.25">
      <c r="K99" s="16"/>
    </row>
    <row r="100" spans="11:11" x14ac:dyDescent="0.25">
      <c r="K100" s="16"/>
    </row>
    <row r="101" spans="11:11" x14ac:dyDescent="0.25">
      <c r="K101" s="16"/>
    </row>
    <row r="102" spans="11:11" x14ac:dyDescent="0.25">
      <c r="K102" s="16"/>
    </row>
    <row r="103" spans="11:11" x14ac:dyDescent="0.25">
      <c r="K103" s="16"/>
    </row>
    <row r="104" spans="11:11" x14ac:dyDescent="0.25">
      <c r="K104" s="16"/>
    </row>
    <row r="105" spans="11:11" x14ac:dyDescent="0.25">
      <c r="K105" s="16"/>
    </row>
    <row r="106" spans="11:11" x14ac:dyDescent="0.25">
      <c r="K106" s="16"/>
    </row>
    <row r="107" spans="11:11" x14ac:dyDescent="0.25">
      <c r="K107" s="16"/>
    </row>
    <row r="108" spans="11:11" x14ac:dyDescent="0.25">
      <c r="K108" s="16"/>
    </row>
    <row r="109" spans="11:11" x14ac:dyDescent="0.25">
      <c r="K109" s="16"/>
    </row>
    <row r="110" spans="11:11" x14ac:dyDescent="0.25">
      <c r="K110" s="16"/>
    </row>
    <row r="111" spans="11:11" x14ac:dyDescent="0.25">
      <c r="K111" s="16"/>
    </row>
    <row r="112" spans="11:11" x14ac:dyDescent="0.25">
      <c r="K112" s="16"/>
    </row>
    <row r="113" spans="11:11" x14ac:dyDescent="0.25">
      <c r="K113" s="16"/>
    </row>
    <row r="114" spans="11:11" x14ac:dyDescent="0.25">
      <c r="K114" s="16"/>
    </row>
    <row r="115" spans="11:11" x14ac:dyDescent="0.25">
      <c r="K115" s="16"/>
    </row>
    <row r="116" spans="11:11" x14ac:dyDescent="0.25">
      <c r="K116" s="16"/>
    </row>
    <row r="117" spans="11:11" x14ac:dyDescent="0.25">
      <c r="K117" s="16"/>
    </row>
    <row r="118" spans="11:11" x14ac:dyDescent="0.25">
      <c r="K118" s="16"/>
    </row>
    <row r="119" spans="11:11" x14ac:dyDescent="0.25">
      <c r="K119" s="16"/>
    </row>
    <row r="120" spans="11:11" x14ac:dyDescent="0.25">
      <c r="K120" s="16"/>
    </row>
    <row r="121" spans="11:11" x14ac:dyDescent="0.25">
      <c r="K121" s="16"/>
    </row>
    <row r="122" spans="11:11" x14ac:dyDescent="0.25">
      <c r="K122" s="16"/>
    </row>
    <row r="123" spans="11:11" x14ac:dyDescent="0.25">
      <c r="K123" s="16"/>
    </row>
    <row r="124" spans="11:11" x14ac:dyDescent="0.25">
      <c r="K124" s="16"/>
    </row>
    <row r="125" spans="11:11" x14ac:dyDescent="0.25">
      <c r="K125" s="16"/>
    </row>
    <row r="126" spans="11:11" x14ac:dyDescent="0.25">
      <c r="K126" s="16"/>
    </row>
    <row r="127" spans="11:11" x14ac:dyDescent="0.25">
      <c r="K127" s="16"/>
    </row>
    <row r="128" spans="11:11" x14ac:dyDescent="0.25">
      <c r="K128" s="16"/>
    </row>
    <row r="129" spans="11:11" x14ac:dyDescent="0.25">
      <c r="K129" s="16"/>
    </row>
    <row r="130" spans="11:11" x14ac:dyDescent="0.25">
      <c r="K130" s="16"/>
    </row>
    <row r="131" spans="11:11" x14ac:dyDescent="0.25">
      <c r="K131" s="16"/>
    </row>
    <row r="132" spans="11:11" x14ac:dyDescent="0.25">
      <c r="K132" s="16"/>
    </row>
    <row r="133" spans="11:11" x14ac:dyDescent="0.25">
      <c r="K133" s="16"/>
    </row>
    <row r="134" spans="11:11" x14ac:dyDescent="0.25">
      <c r="K134" s="16"/>
    </row>
    <row r="135" spans="11:11" x14ac:dyDescent="0.25">
      <c r="K135" s="16"/>
    </row>
    <row r="136" spans="11:11" x14ac:dyDescent="0.25">
      <c r="K136" s="16"/>
    </row>
    <row r="137" spans="11:11" x14ac:dyDescent="0.25">
      <c r="K137" s="16"/>
    </row>
    <row r="138" spans="11:11" x14ac:dyDescent="0.25">
      <c r="K138" s="16"/>
    </row>
    <row r="139" spans="11:11" x14ac:dyDescent="0.25">
      <c r="K139" s="16"/>
    </row>
    <row r="140" spans="11:11" x14ac:dyDescent="0.25">
      <c r="K140" s="16"/>
    </row>
    <row r="141" spans="11:11" x14ac:dyDescent="0.25">
      <c r="K141" s="16"/>
    </row>
    <row r="142" spans="11:11" x14ac:dyDescent="0.25">
      <c r="K142" s="16"/>
    </row>
    <row r="143" spans="11:11" x14ac:dyDescent="0.25">
      <c r="K143" s="16"/>
    </row>
    <row r="144" spans="11:11" x14ac:dyDescent="0.25">
      <c r="K144" s="16"/>
    </row>
    <row r="145" spans="11:11" x14ac:dyDescent="0.25">
      <c r="K145" s="16"/>
    </row>
    <row r="146" spans="11:11" x14ac:dyDescent="0.25">
      <c r="K146" s="16"/>
    </row>
    <row r="147" spans="11:11" x14ac:dyDescent="0.25">
      <c r="K147" s="16"/>
    </row>
    <row r="148" spans="11:11" x14ac:dyDescent="0.25">
      <c r="K148" s="16"/>
    </row>
    <row r="149" spans="11:11" x14ac:dyDescent="0.25">
      <c r="K149" s="16"/>
    </row>
    <row r="150" spans="11:11" x14ac:dyDescent="0.25">
      <c r="K150" s="16"/>
    </row>
    <row r="151" spans="11:11" x14ac:dyDescent="0.25">
      <c r="K151" s="16"/>
    </row>
    <row r="152" spans="11:11" x14ac:dyDescent="0.25">
      <c r="K152" s="16"/>
    </row>
    <row r="153" spans="11:11" x14ac:dyDescent="0.25">
      <c r="K153" s="16"/>
    </row>
    <row r="154" spans="11:11" x14ac:dyDescent="0.25">
      <c r="K154" s="16"/>
    </row>
    <row r="155" spans="11:11" x14ac:dyDescent="0.25">
      <c r="K155" s="16"/>
    </row>
    <row r="156" spans="11:11" x14ac:dyDescent="0.25">
      <c r="K156" s="16"/>
    </row>
    <row r="157" spans="11:11" x14ac:dyDescent="0.25">
      <c r="K157" s="16"/>
    </row>
    <row r="158" spans="11:11" x14ac:dyDescent="0.25">
      <c r="K158" s="16"/>
    </row>
    <row r="159" spans="11:11" x14ac:dyDescent="0.25">
      <c r="K159" s="16"/>
    </row>
    <row r="160" spans="11:11" x14ac:dyDescent="0.25">
      <c r="K160" s="16"/>
    </row>
    <row r="161" spans="11:11" x14ac:dyDescent="0.25">
      <c r="K161" s="16"/>
    </row>
    <row r="162" spans="11:11" x14ac:dyDescent="0.25">
      <c r="K162" s="16"/>
    </row>
    <row r="163" spans="11:11" x14ac:dyDescent="0.25">
      <c r="K163" s="16"/>
    </row>
    <row r="164" spans="11:11" x14ac:dyDescent="0.25">
      <c r="K164" s="16"/>
    </row>
    <row r="165" spans="11:11" x14ac:dyDescent="0.25">
      <c r="K165" s="16"/>
    </row>
    <row r="166" spans="11:11" x14ac:dyDescent="0.25">
      <c r="K166" s="16"/>
    </row>
    <row r="167" spans="11:11" x14ac:dyDescent="0.25">
      <c r="K167" s="16"/>
    </row>
    <row r="168" spans="11:11" x14ac:dyDescent="0.25">
      <c r="K168" s="16"/>
    </row>
    <row r="169" spans="11:11" x14ac:dyDescent="0.25">
      <c r="K169" s="16"/>
    </row>
    <row r="170" spans="11:11" x14ac:dyDescent="0.25">
      <c r="K170" s="16"/>
    </row>
    <row r="171" spans="11:11" x14ac:dyDescent="0.25">
      <c r="K171" s="16"/>
    </row>
    <row r="172" spans="11:11" x14ac:dyDescent="0.25">
      <c r="K172" s="16"/>
    </row>
    <row r="173" spans="11:11" x14ac:dyDescent="0.25">
      <c r="K173" s="16"/>
    </row>
    <row r="174" spans="11:11" x14ac:dyDescent="0.25">
      <c r="K174" s="16"/>
    </row>
    <row r="175" spans="11:11" x14ac:dyDescent="0.25">
      <c r="K175" s="16"/>
    </row>
    <row r="176" spans="11:11" x14ac:dyDescent="0.25">
      <c r="K176" s="16"/>
    </row>
    <row r="177" spans="11:11" x14ac:dyDescent="0.25">
      <c r="K177" s="16"/>
    </row>
    <row r="178" spans="11:11" x14ac:dyDescent="0.25">
      <c r="K178" s="16"/>
    </row>
    <row r="179" spans="11:11" x14ac:dyDescent="0.25">
      <c r="K179" s="16"/>
    </row>
    <row r="180" spans="11:11" x14ac:dyDescent="0.25">
      <c r="K180" s="16"/>
    </row>
    <row r="181" spans="11:11" x14ac:dyDescent="0.25">
      <c r="K181" s="16"/>
    </row>
    <row r="182" spans="11:11" x14ac:dyDescent="0.25">
      <c r="K182" s="16"/>
    </row>
    <row r="183" spans="11:11" x14ac:dyDescent="0.25">
      <c r="K183" s="16"/>
    </row>
    <row r="184" spans="11:11" x14ac:dyDescent="0.25">
      <c r="K184" s="16"/>
    </row>
    <row r="185" spans="11:11" x14ac:dyDescent="0.25">
      <c r="K185" s="16"/>
    </row>
    <row r="186" spans="11:11" x14ac:dyDescent="0.25">
      <c r="K186" s="16"/>
    </row>
    <row r="187" spans="11:11" x14ac:dyDescent="0.25">
      <c r="K187" s="16"/>
    </row>
    <row r="188" spans="11:11" x14ac:dyDescent="0.25">
      <c r="K188" s="16"/>
    </row>
    <row r="189" spans="11:11" x14ac:dyDescent="0.25">
      <c r="K189" s="16"/>
    </row>
    <row r="190" spans="11:11" x14ac:dyDescent="0.25">
      <c r="K190" s="16"/>
    </row>
    <row r="191" spans="11:11" x14ac:dyDescent="0.25">
      <c r="K191" s="16"/>
    </row>
    <row r="192" spans="11:11" x14ac:dyDescent="0.25">
      <c r="K192" s="16"/>
    </row>
    <row r="193" spans="11:11" x14ac:dyDescent="0.25">
      <c r="K193" s="16"/>
    </row>
    <row r="194" spans="11:11" x14ac:dyDescent="0.25">
      <c r="K194" s="16"/>
    </row>
    <row r="195" spans="11:11" x14ac:dyDescent="0.25">
      <c r="K195" s="16"/>
    </row>
    <row r="196" spans="11:11" x14ac:dyDescent="0.25">
      <c r="K196" s="16"/>
    </row>
    <row r="197" spans="11:11" x14ac:dyDescent="0.25">
      <c r="K197" s="16"/>
    </row>
    <row r="198" spans="11:11" x14ac:dyDescent="0.25">
      <c r="K198" s="16"/>
    </row>
    <row r="199" spans="11:11" x14ac:dyDescent="0.25">
      <c r="K199" s="16"/>
    </row>
    <row r="200" spans="11:11" x14ac:dyDescent="0.25">
      <c r="K200" s="16"/>
    </row>
    <row r="201" spans="11:11" x14ac:dyDescent="0.25">
      <c r="K201" s="16"/>
    </row>
    <row r="202" spans="11:11" x14ac:dyDescent="0.25">
      <c r="K202" s="16"/>
    </row>
    <row r="203" spans="11:11" x14ac:dyDescent="0.25">
      <c r="K203" s="16"/>
    </row>
    <row r="204" spans="11:11" x14ac:dyDescent="0.25">
      <c r="K204" s="16"/>
    </row>
    <row r="205" spans="11:11" x14ac:dyDescent="0.25">
      <c r="K205" s="16"/>
    </row>
    <row r="206" spans="11:11" x14ac:dyDescent="0.25">
      <c r="K206" s="16"/>
    </row>
    <row r="207" spans="11:11" x14ac:dyDescent="0.25">
      <c r="K207" s="16"/>
    </row>
    <row r="208" spans="11:11" x14ac:dyDescent="0.25">
      <c r="K208" s="16"/>
    </row>
    <row r="209" spans="11:11" x14ac:dyDescent="0.25">
      <c r="K209" s="16"/>
    </row>
    <row r="210" spans="11:11" x14ac:dyDescent="0.25">
      <c r="K210" s="16"/>
    </row>
    <row r="211" spans="11:11" x14ac:dyDescent="0.25">
      <c r="K211" s="16"/>
    </row>
    <row r="212" spans="11:11" x14ac:dyDescent="0.25">
      <c r="K212" s="16"/>
    </row>
    <row r="213" spans="11:11" x14ac:dyDescent="0.25">
      <c r="K213" s="16"/>
    </row>
    <row r="214" spans="11:11" x14ac:dyDescent="0.25">
      <c r="K214" s="16"/>
    </row>
    <row r="215" spans="11:11" x14ac:dyDescent="0.25">
      <c r="K215" s="16"/>
    </row>
    <row r="216" spans="11:11" x14ac:dyDescent="0.25">
      <c r="K216" s="16"/>
    </row>
    <row r="217" spans="11:11" x14ac:dyDescent="0.25">
      <c r="K217" s="16"/>
    </row>
    <row r="218" spans="11:11" x14ac:dyDescent="0.25">
      <c r="K218" s="16"/>
    </row>
    <row r="219" spans="11:11" x14ac:dyDescent="0.25">
      <c r="K219" s="16"/>
    </row>
    <row r="220" spans="11:11" x14ac:dyDescent="0.25">
      <c r="K220" s="16"/>
    </row>
    <row r="221" spans="11:11" x14ac:dyDescent="0.25">
      <c r="K221" s="16"/>
    </row>
    <row r="222" spans="11:11" x14ac:dyDescent="0.25">
      <c r="K222" s="16"/>
    </row>
    <row r="223" spans="11:11" x14ac:dyDescent="0.25">
      <c r="K223" s="16"/>
    </row>
    <row r="224" spans="11:11" x14ac:dyDescent="0.25">
      <c r="K224" s="16"/>
    </row>
    <row r="225" spans="11:11" x14ac:dyDescent="0.25">
      <c r="K225" s="16"/>
    </row>
    <row r="226" spans="11:11" x14ac:dyDescent="0.25">
      <c r="K226" s="16"/>
    </row>
    <row r="227" spans="11:11" x14ac:dyDescent="0.25">
      <c r="K227" s="16"/>
    </row>
    <row r="228" spans="11:11" x14ac:dyDescent="0.25">
      <c r="K228" s="16"/>
    </row>
    <row r="229" spans="11:11" x14ac:dyDescent="0.25">
      <c r="K229" s="16"/>
    </row>
    <row r="230" spans="11:11" x14ac:dyDescent="0.25">
      <c r="K230" s="16"/>
    </row>
    <row r="231" spans="11:11" x14ac:dyDescent="0.25">
      <c r="K231" s="16"/>
    </row>
    <row r="232" spans="11:11" x14ac:dyDescent="0.25">
      <c r="K232" s="16"/>
    </row>
    <row r="233" spans="11:11" x14ac:dyDescent="0.25">
      <c r="K233" s="16"/>
    </row>
    <row r="234" spans="11:11" x14ac:dyDescent="0.25">
      <c r="K234" s="16"/>
    </row>
    <row r="235" spans="11:11" x14ac:dyDescent="0.25">
      <c r="K235" s="16"/>
    </row>
    <row r="236" spans="11:11" x14ac:dyDescent="0.25">
      <c r="K236" s="16"/>
    </row>
    <row r="237" spans="11:11" x14ac:dyDescent="0.25">
      <c r="K237" s="16"/>
    </row>
    <row r="238" spans="11:11" x14ac:dyDescent="0.25">
      <c r="K238" s="16"/>
    </row>
    <row r="239" spans="11:11" x14ac:dyDescent="0.25">
      <c r="K239" s="16"/>
    </row>
    <row r="240" spans="11:11" x14ac:dyDescent="0.25">
      <c r="K240" s="16"/>
    </row>
    <row r="241" spans="11:11" x14ac:dyDescent="0.25">
      <c r="K241" s="16"/>
    </row>
    <row r="242" spans="11:11" x14ac:dyDescent="0.25">
      <c r="K242" s="16"/>
    </row>
    <row r="243" spans="11:11" x14ac:dyDescent="0.25">
      <c r="K243" s="16"/>
    </row>
    <row r="244" spans="11:11" x14ac:dyDescent="0.25">
      <c r="K244" s="16"/>
    </row>
    <row r="245" spans="11:11" x14ac:dyDescent="0.25">
      <c r="K245" s="16"/>
    </row>
    <row r="246" spans="11:11" x14ac:dyDescent="0.25">
      <c r="K246" s="16"/>
    </row>
    <row r="247" spans="11:11" x14ac:dyDescent="0.25">
      <c r="K247" s="16"/>
    </row>
    <row r="248" spans="11:11" x14ac:dyDescent="0.25">
      <c r="K248" s="16"/>
    </row>
    <row r="249" spans="11:11" x14ac:dyDescent="0.25">
      <c r="K249" s="16"/>
    </row>
    <row r="250" spans="11:11" x14ac:dyDescent="0.25">
      <c r="K250" s="16"/>
    </row>
    <row r="251" spans="11:11" x14ac:dyDescent="0.25">
      <c r="K251" s="16"/>
    </row>
    <row r="252" spans="11:11" x14ac:dyDescent="0.25">
      <c r="K252" s="16"/>
    </row>
    <row r="253" spans="11:11" x14ac:dyDescent="0.25">
      <c r="K253" s="16"/>
    </row>
    <row r="254" spans="11:11" x14ac:dyDescent="0.25">
      <c r="K254" s="16"/>
    </row>
    <row r="255" spans="11:11" x14ac:dyDescent="0.25">
      <c r="K255" s="16"/>
    </row>
    <row r="256" spans="11:11" x14ac:dyDescent="0.25">
      <c r="K256" s="16"/>
    </row>
    <row r="257" spans="11:11" x14ac:dyDescent="0.25">
      <c r="K257" s="16"/>
    </row>
    <row r="258" spans="11:11" x14ac:dyDescent="0.25">
      <c r="K258" s="16"/>
    </row>
    <row r="259" spans="11:11" x14ac:dyDescent="0.25">
      <c r="K259" s="16"/>
    </row>
    <row r="260" spans="11:11" x14ac:dyDescent="0.25">
      <c r="K260" s="16"/>
    </row>
    <row r="261" spans="11:11" x14ac:dyDescent="0.25">
      <c r="K261" s="16"/>
    </row>
    <row r="262" spans="11:11" x14ac:dyDescent="0.25">
      <c r="K262" s="16"/>
    </row>
    <row r="263" spans="11:11" x14ac:dyDescent="0.25">
      <c r="K263" s="16"/>
    </row>
    <row r="264" spans="11:11" x14ac:dyDescent="0.25">
      <c r="K264" s="16"/>
    </row>
    <row r="265" spans="11:11" x14ac:dyDescent="0.25">
      <c r="K265" s="16"/>
    </row>
    <row r="266" spans="11:11" x14ac:dyDescent="0.25">
      <c r="K266" s="16"/>
    </row>
    <row r="267" spans="11:11" x14ac:dyDescent="0.25">
      <c r="K267" s="16"/>
    </row>
    <row r="268" spans="11:11" x14ac:dyDescent="0.25">
      <c r="K268" s="16"/>
    </row>
    <row r="269" spans="11:11" x14ac:dyDescent="0.25">
      <c r="K269" s="16"/>
    </row>
    <row r="270" spans="11:11" x14ac:dyDescent="0.25">
      <c r="K270" s="16"/>
    </row>
    <row r="271" spans="11:11" x14ac:dyDescent="0.25">
      <c r="K271" s="16"/>
    </row>
    <row r="272" spans="11:11" x14ac:dyDescent="0.25">
      <c r="K272" s="16"/>
    </row>
    <row r="273" spans="11:11" x14ac:dyDescent="0.25">
      <c r="K273" s="16"/>
    </row>
    <row r="274" spans="11:11" x14ac:dyDescent="0.25">
      <c r="K274" s="16"/>
    </row>
    <row r="275" spans="11:11" x14ac:dyDescent="0.25">
      <c r="K275" s="16"/>
    </row>
    <row r="276" spans="11:11" x14ac:dyDescent="0.25">
      <c r="K276" s="16"/>
    </row>
    <row r="277" spans="11:11" x14ac:dyDescent="0.25">
      <c r="K277" s="16"/>
    </row>
    <row r="278" spans="11:11" x14ac:dyDescent="0.25">
      <c r="K278" s="16"/>
    </row>
    <row r="279" spans="11:11" x14ac:dyDescent="0.25">
      <c r="K279" s="16"/>
    </row>
    <row r="280" spans="11:11" x14ac:dyDescent="0.25">
      <c r="K280" s="16"/>
    </row>
    <row r="281" spans="11:11" x14ac:dyDescent="0.25">
      <c r="K281" s="16"/>
    </row>
    <row r="282" spans="11:11" x14ac:dyDescent="0.25">
      <c r="K282" s="16"/>
    </row>
    <row r="283" spans="11:11" x14ac:dyDescent="0.25">
      <c r="K283" s="16"/>
    </row>
    <row r="284" spans="11:11" x14ac:dyDescent="0.25">
      <c r="K284" s="16"/>
    </row>
    <row r="285" spans="11:11" x14ac:dyDescent="0.25">
      <c r="K285" s="16"/>
    </row>
    <row r="286" spans="11:11" x14ac:dyDescent="0.25">
      <c r="K286" s="16"/>
    </row>
    <row r="287" spans="11:11" x14ac:dyDescent="0.25">
      <c r="K287" s="16"/>
    </row>
    <row r="288" spans="11:11" x14ac:dyDescent="0.25">
      <c r="K288" s="16"/>
    </row>
    <row r="289" spans="11:11" x14ac:dyDescent="0.25">
      <c r="K289" s="16"/>
    </row>
    <row r="290" spans="11:11" x14ac:dyDescent="0.25">
      <c r="K290" s="16"/>
    </row>
    <row r="291" spans="11:11" x14ac:dyDescent="0.25">
      <c r="K291" s="16"/>
    </row>
    <row r="292" spans="11:11" x14ac:dyDescent="0.25">
      <c r="K292" s="16"/>
    </row>
    <row r="293" spans="11:11" x14ac:dyDescent="0.25">
      <c r="K293" s="16"/>
    </row>
    <row r="294" spans="11:11" x14ac:dyDescent="0.25">
      <c r="K294" s="16"/>
    </row>
    <row r="295" spans="11:11" x14ac:dyDescent="0.25">
      <c r="K295" s="16"/>
    </row>
    <row r="296" spans="11:11" x14ac:dyDescent="0.25">
      <c r="K296" s="16"/>
    </row>
    <row r="297" spans="11:11" x14ac:dyDescent="0.25">
      <c r="K297" s="16"/>
    </row>
    <row r="298" spans="11:11" x14ac:dyDescent="0.25">
      <c r="K298" s="16"/>
    </row>
    <row r="299" spans="11:11" x14ac:dyDescent="0.25">
      <c r="K299" s="16"/>
    </row>
    <row r="300" spans="11:11" x14ac:dyDescent="0.25">
      <c r="K300" s="16"/>
    </row>
    <row r="301" spans="11:11" x14ac:dyDescent="0.25">
      <c r="K301" s="16"/>
    </row>
    <row r="302" spans="11:11" x14ac:dyDescent="0.25">
      <c r="K302" s="16"/>
    </row>
    <row r="303" spans="11:11" x14ac:dyDescent="0.25">
      <c r="K303" s="16"/>
    </row>
    <row r="304" spans="11:11" x14ac:dyDescent="0.25">
      <c r="K304" s="16"/>
    </row>
    <row r="305" spans="11:11" x14ac:dyDescent="0.25">
      <c r="K305" s="16"/>
    </row>
    <row r="306" spans="11:11" x14ac:dyDescent="0.25">
      <c r="K306" s="16"/>
    </row>
    <row r="307" spans="11:11" x14ac:dyDescent="0.25">
      <c r="K307" s="16"/>
    </row>
    <row r="308" spans="11:11" x14ac:dyDescent="0.25">
      <c r="K308" s="16"/>
    </row>
    <row r="309" spans="11:11" x14ac:dyDescent="0.25">
      <c r="K309" s="16"/>
    </row>
    <row r="310" spans="11:11" x14ac:dyDescent="0.25">
      <c r="K310" s="16"/>
    </row>
    <row r="311" spans="11:11" x14ac:dyDescent="0.25">
      <c r="K311" s="16"/>
    </row>
    <row r="312" spans="11:11" x14ac:dyDescent="0.25">
      <c r="K312" s="16"/>
    </row>
    <row r="313" spans="11:11" x14ac:dyDescent="0.25">
      <c r="K313" s="16"/>
    </row>
    <row r="314" spans="11:11" x14ac:dyDescent="0.25">
      <c r="K314" s="16"/>
    </row>
    <row r="315" spans="11:11" x14ac:dyDescent="0.25">
      <c r="K315" s="16"/>
    </row>
    <row r="316" spans="11:11" x14ac:dyDescent="0.25">
      <c r="K316" s="16"/>
    </row>
    <row r="317" spans="11:11" x14ac:dyDescent="0.25">
      <c r="K317" s="16"/>
    </row>
    <row r="318" spans="11:11" x14ac:dyDescent="0.25">
      <c r="K318" s="16"/>
    </row>
    <row r="319" spans="11:11" x14ac:dyDescent="0.25">
      <c r="K319" s="16"/>
    </row>
    <row r="320" spans="11:11" x14ac:dyDescent="0.25">
      <c r="K320" s="16"/>
    </row>
    <row r="321" spans="11:11" x14ac:dyDescent="0.25">
      <c r="K321" s="16"/>
    </row>
    <row r="322" spans="11:11" x14ac:dyDescent="0.25">
      <c r="K322" s="16"/>
    </row>
    <row r="323" spans="11:11" x14ac:dyDescent="0.25">
      <c r="K323" s="16"/>
    </row>
    <row r="324" spans="11:11" x14ac:dyDescent="0.25">
      <c r="K324" s="16"/>
    </row>
    <row r="325" spans="11:11" x14ac:dyDescent="0.25">
      <c r="K325" s="16"/>
    </row>
    <row r="326" spans="11:11" x14ac:dyDescent="0.25">
      <c r="K326" s="16"/>
    </row>
    <row r="327" spans="11:11" x14ac:dyDescent="0.25">
      <c r="K327" s="16"/>
    </row>
    <row r="328" spans="11:11" x14ac:dyDescent="0.25">
      <c r="K328" s="16"/>
    </row>
    <row r="329" spans="11:11" x14ac:dyDescent="0.25">
      <c r="K329" s="16"/>
    </row>
    <row r="330" spans="11:11" x14ac:dyDescent="0.25">
      <c r="K330" s="16"/>
    </row>
    <row r="331" spans="11:11" x14ac:dyDescent="0.25">
      <c r="K331" s="16"/>
    </row>
    <row r="332" spans="11:11" x14ac:dyDescent="0.25">
      <c r="K332" s="16"/>
    </row>
    <row r="333" spans="11:11" x14ac:dyDescent="0.25">
      <c r="K333" s="16"/>
    </row>
    <row r="334" spans="11:11" x14ac:dyDescent="0.25">
      <c r="K334" s="16"/>
    </row>
    <row r="335" spans="11:11" x14ac:dyDescent="0.25">
      <c r="K335" s="16"/>
    </row>
    <row r="336" spans="11:11" x14ac:dyDescent="0.25">
      <c r="K336" s="16"/>
    </row>
    <row r="337" spans="11:11" x14ac:dyDescent="0.25">
      <c r="K337" s="16"/>
    </row>
    <row r="338" spans="11:11" x14ac:dyDescent="0.25">
      <c r="K338" s="16"/>
    </row>
    <row r="339" spans="11:11" x14ac:dyDescent="0.25">
      <c r="K339" s="16"/>
    </row>
    <row r="340" spans="11:11" x14ac:dyDescent="0.25">
      <c r="K340" s="16"/>
    </row>
    <row r="341" spans="11:11" x14ac:dyDescent="0.25">
      <c r="K341" s="16"/>
    </row>
    <row r="342" spans="11:11" x14ac:dyDescent="0.25">
      <c r="K342" s="16"/>
    </row>
    <row r="343" spans="11:11" x14ac:dyDescent="0.25">
      <c r="K343" s="16"/>
    </row>
    <row r="344" spans="11:11" x14ac:dyDescent="0.25">
      <c r="K344" s="16"/>
    </row>
    <row r="345" spans="11:11" x14ac:dyDescent="0.25">
      <c r="K345" s="16"/>
    </row>
    <row r="346" spans="11:11" x14ac:dyDescent="0.25">
      <c r="K346" s="16"/>
    </row>
    <row r="347" spans="11:11" x14ac:dyDescent="0.25">
      <c r="K347" s="16"/>
    </row>
    <row r="348" spans="11:11" x14ac:dyDescent="0.25">
      <c r="K348" s="16"/>
    </row>
    <row r="349" spans="11:11" x14ac:dyDescent="0.25">
      <c r="K349" s="16"/>
    </row>
    <row r="350" spans="11:11" x14ac:dyDescent="0.25">
      <c r="K350" s="16"/>
    </row>
    <row r="351" spans="11:11" x14ac:dyDescent="0.25">
      <c r="K351" s="16"/>
    </row>
    <row r="352" spans="11:11" x14ac:dyDescent="0.25">
      <c r="K352" s="16"/>
    </row>
    <row r="353" spans="11:11" x14ac:dyDescent="0.25">
      <c r="K353" s="16"/>
    </row>
    <row r="354" spans="11:11" x14ac:dyDescent="0.25">
      <c r="K354" s="16"/>
    </row>
    <row r="355" spans="11:11" x14ac:dyDescent="0.25">
      <c r="K355" s="16"/>
    </row>
    <row r="356" spans="11:11" x14ac:dyDescent="0.25">
      <c r="K356" s="16"/>
    </row>
    <row r="357" spans="11:11" x14ac:dyDescent="0.25">
      <c r="K357" s="16"/>
    </row>
    <row r="358" spans="11:11" x14ac:dyDescent="0.25">
      <c r="K358" s="16"/>
    </row>
    <row r="359" spans="11:11" x14ac:dyDescent="0.25">
      <c r="K359" s="16"/>
    </row>
    <row r="360" spans="11:11" x14ac:dyDescent="0.25">
      <c r="K360" s="16"/>
    </row>
    <row r="361" spans="11:11" x14ac:dyDescent="0.25">
      <c r="K361" s="16"/>
    </row>
    <row r="362" spans="11:11" x14ac:dyDescent="0.25">
      <c r="K362" s="16"/>
    </row>
    <row r="363" spans="11:11" x14ac:dyDescent="0.25">
      <c r="K363" s="16"/>
    </row>
    <row r="364" spans="11:11" x14ac:dyDescent="0.25">
      <c r="K364" s="16"/>
    </row>
    <row r="365" spans="11:11" x14ac:dyDescent="0.25">
      <c r="K365" s="16"/>
    </row>
    <row r="366" spans="11:11" x14ac:dyDescent="0.25">
      <c r="K366" s="16"/>
    </row>
    <row r="367" spans="11:11" x14ac:dyDescent="0.25">
      <c r="K367" s="16"/>
    </row>
    <row r="368" spans="11:11" x14ac:dyDescent="0.25">
      <c r="K368" s="16"/>
    </row>
    <row r="369" spans="11:11" x14ac:dyDescent="0.25">
      <c r="K369" s="16"/>
    </row>
    <row r="370" spans="11:11" x14ac:dyDescent="0.25">
      <c r="K370" s="16"/>
    </row>
    <row r="371" spans="11:11" x14ac:dyDescent="0.25">
      <c r="K371" s="16"/>
    </row>
    <row r="372" spans="11:11" x14ac:dyDescent="0.25">
      <c r="K372" s="16"/>
    </row>
    <row r="373" spans="11:11" x14ac:dyDescent="0.25">
      <c r="K373" s="16"/>
    </row>
    <row r="374" spans="11:11" x14ac:dyDescent="0.25">
      <c r="K374" s="16"/>
    </row>
    <row r="375" spans="11:11" x14ac:dyDescent="0.25">
      <c r="K375" s="16"/>
    </row>
    <row r="376" spans="11:11" x14ac:dyDescent="0.25">
      <c r="K376" s="16"/>
    </row>
    <row r="377" spans="11:11" x14ac:dyDescent="0.25">
      <c r="K377" s="16"/>
    </row>
    <row r="378" spans="11:11" x14ac:dyDescent="0.25">
      <c r="K378" s="16"/>
    </row>
    <row r="379" spans="11:11" x14ac:dyDescent="0.25">
      <c r="K379" s="16"/>
    </row>
    <row r="380" spans="11:11" x14ac:dyDescent="0.25">
      <c r="K380" s="16"/>
    </row>
    <row r="381" spans="11:11" x14ac:dyDescent="0.25">
      <c r="K381" s="16"/>
    </row>
    <row r="382" spans="11:11" x14ac:dyDescent="0.25">
      <c r="K382" s="16"/>
    </row>
    <row r="383" spans="11:11" x14ac:dyDescent="0.25">
      <c r="K383" s="16"/>
    </row>
    <row r="384" spans="11:11" x14ac:dyDescent="0.25">
      <c r="K384" s="16"/>
    </row>
    <row r="385" spans="11:11" x14ac:dyDescent="0.25">
      <c r="K385" s="16"/>
    </row>
    <row r="386" spans="11:11" x14ac:dyDescent="0.25">
      <c r="K386" s="16"/>
    </row>
    <row r="387" spans="11:11" x14ac:dyDescent="0.25">
      <c r="K387" s="16"/>
    </row>
    <row r="388" spans="11:11" x14ac:dyDescent="0.25">
      <c r="K388" s="16"/>
    </row>
    <row r="389" spans="11:11" x14ac:dyDescent="0.25">
      <c r="K389" s="16"/>
    </row>
    <row r="390" spans="11:11" x14ac:dyDescent="0.25">
      <c r="K390" s="16"/>
    </row>
    <row r="391" spans="11:11" x14ac:dyDescent="0.25">
      <c r="K391" s="16"/>
    </row>
    <row r="392" spans="11:11" x14ac:dyDescent="0.25">
      <c r="K392" s="16"/>
    </row>
    <row r="393" spans="11:11" x14ac:dyDescent="0.25">
      <c r="K393" s="16"/>
    </row>
    <row r="394" spans="11:11" x14ac:dyDescent="0.25">
      <c r="K394" s="16"/>
    </row>
    <row r="395" spans="11:11" x14ac:dyDescent="0.25">
      <c r="K395" s="16"/>
    </row>
    <row r="396" spans="11:11" x14ac:dyDescent="0.25">
      <c r="K396" s="16"/>
    </row>
    <row r="397" spans="11:11" x14ac:dyDescent="0.25">
      <c r="K397" s="16"/>
    </row>
    <row r="398" spans="11:11" x14ac:dyDescent="0.25">
      <c r="K398" s="16"/>
    </row>
    <row r="399" spans="11:11" x14ac:dyDescent="0.25">
      <c r="K399" s="16"/>
    </row>
    <row r="400" spans="11:11" x14ac:dyDescent="0.25">
      <c r="K400" s="16"/>
    </row>
    <row r="401" spans="11:11" x14ac:dyDescent="0.25">
      <c r="K401" s="16"/>
    </row>
    <row r="402" spans="11:11" x14ac:dyDescent="0.25">
      <c r="K402" s="16"/>
    </row>
    <row r="403" spans="11:11" x14ac:dyDescent="0.25">
      <c r="K403" s="16"/>
    </row>
    <row r="404" spans="11:11" x14ac:dyDescent="0.25">
      <c r="K404" s="16"/>
    </row>
    <row r="405" spans="11:11" x14ac:dyDescent="0.25">
      <c r="K405" s="16"/>
    </row>
    <row r="406" spans="11:11" x14ac:dyDescent="0.25">
      <c r="K406" s="16"/>
    </row>
    <row r="407" spans="11:11" x14ac:dyDescent="0.25">
      <c r="K407" s="16"/>
    </row>
    <row r="408" spans="11:11" x14ac:dyDescent="0.25">
      <c r="K408" s="16"/>
    </row>
    <row r="409" spans="11:11" x14ac:dyDescent="0.25">
      <c r="K409" s="16"/>
    </row>
    <row r="410" spans="11:11" x14ac:dyDescent="0.25">
      <c r="K410" s="16"/>
    </row>
    <row r="411" spans="11:11" x14ac:dyDescent="0.25">
      <c r="K411" s="16"/>
    </row>
    <row r="412" spans="11:11" x14ac:dyDescent="0.25">
      <c r="K412" s="16"/>
    </row>
    <row r="413" spans="11:11" x14ac:dyDescent="0.25">
      <c r="K413" s="16"/>
    </row>
    <row r="414" spans="11:11" x14ac:dyDescent="0.25">
      <c r="K414" s="16"/>
    </row>
    <row r="415" spans="11:11" x14ac:dyDescent="0.25">
      <c r="K415" s="16"/>
    </row>
    <row r="416" spans="11:11" x14ac:dyDescent="0.25">
      <c r="K416" s="16"/>
    </row>
    <row r="417" spans="11:11" x14ac:dyDescent="0.25">
      <c r="K417" s="16"/>
    </row>
    <row r="418" spans="11:11" x14ac:dyDescent="0.25">
      <c r="K418" s="16"/>
    </row>
    <row r="419" spans="11:11" x14ac:dyDescent="0.25">
      <c r="K419" s="16"/>
    </row>
    <row r="420" spans="11:11" x14ac:dyDescent="0.25">
      <c r="K420" s="16"/>
    </row>
    <row r="421" spans="11:11" x14ac:dyDescent="0.25">
      <c r="K421" s="16"/>
    </row>
    <row r="422" spans="11:11" x14ac:dyDescent="0.25">
      <c r="K422" s="16"/>
    </row>
    <row r="423" spans="11:11" x14ac:dyDescent="0.25">
      <c r="K423" s="16"/>
    </row>
    <row r="424" spans="11:11" x14ac:dyDescent="0.25">
      <c r="K424" s="16"/>
    </row>
    <row r="425" spans="11:11" x14ac:dyDescent="0.25">
      <c r="K425" s="16"/>
    </row>
    <row r="426" spans="11:11" x14ac:dyDescent="0.25">
      <c r="K426" s="16"/>
    </row>
    <row r="427" spans="11:11" x14ac:dyDescent="0.25">
      <c r="K427" s="16"/>
    </row>
    <row r="428" spans="11:11" x14ac:dyDescent="0.25">
      <c r="K428" s="16"/>
    </row>
    <row r="429" spans="11:11" x14ac:dyDescent="0.25">
      <c r="K429" s="16"/>
    </row>
    <row r="430" spans="11:11" x14ac:dyDescent="0.25">
      <c r="K430" s="16"/>
    </row>
    <row r="431" spans="11:11" x14ac:dyDescent="0.25">
      <c r="K431" s="16"/>
    </row>
    <row r="432" spans="11:11" x14ac:dyDescent="0.25">
      <c r="K432" s="16"/>
    </row>
    <row r="433" spans="11:11" x14ac:dyDescent="0.25">
      <c r="K433" s="16"/>
    </row>
    <row r="434" spans="11:11" x14ac:dyDescent="0.25">
      <c r="K434" s="16"/>
    </row>
    <row r="435" spans="11:11" x14ac:dyDescent="0.25">
      <c r="K435" s="16"/>
    </row>
    <row r="436" spans="11:11" x14ac:dyDescent="0.25">
      <c r="K436" s="16"/>
    </row>
    <row r="437" spans="11:11" x14ac:dyDescent="0.25">
      <c r="K437" s="16"/>
    </row>
    <row r="438" spans="11:11" x14ac:dyDescent="0.25">
      <c r="K438" s="16"/>
    </row>
    <row r="439" spans="11:11" x14ac:dyDescent="0.25">
      <c r="K439" s="16"/>
    </row>
    <row r="440" spans="11:11" x14ac:dyDescent="0.25">
      <c r="K440" s="16"/>
    </row>
    <row r="441" spans="11:11" x14ac:dyDescent="0.25">
      <c r="K441" s="16"/>
    </row>
    <row r="442" spans="11:11" x14ac:dyDescent="0.25">
      <c r="K442" s="16"/>
    </row>
    <row r="443" spans="11:11" x14ac:dyDescent="0.25">
      <c r="K443" s="16"/>
    </row>
    <row r="444" spans="11:11" x14ac:dyDescent="0.25">
      <c r="K444" s="16"/>
    </row>
    <row r="445" spans="11:11" x14ac:dyDescent="0.25">
      <c r="K445" s="16"/>
    </row>
    <row r="446" spans="11:11" x14ac:dyDescent="0.25">
      <c r="K446" s="16"/>
    </row>
    <row r="447" spans="11:11" x14ac:dyDescent="0.25">
      <c r="K447" s="16"/>
    </row>
    <row r="448" spans="11:11" x14ac:dyDescent="0.25">
      <c r="K448" s="16"/>
    </row>
    <row r="449" spans="11:11" x14ac:dyDescent="0.25">
      <c r="K449" s="16"/>
    </row>
    <row r="450" spans="11:11" x14ac:dyDescent="0.25">
      <c r="K450" s="16"/>
    </row>
    <row r="451" spans="11:11" x14ac:dyDescent="0.25">
      <c r="K451" s="16"/>
    </row>
    <row r="452" spans="11:11" x14ac:dyDescent="0.25">
      <c r="K452" s="16"/>
    </row>
    <row r="453" spans="11:11" x14ac:dyDescent="0.25">
      <c r="K453" s="16"/>
    </row>
    <row r="454" spans="11:11" x14ac:dyDescent="0.25">
      <c r="K454" s="16"/>
    </row>
    <row r="455" spans="11:11" x14ac:dyDescent="0.25">
      <c r="K455" s="16"/>
    </row>
    <row r="456" spans="11:11" x14ac:dyDescent="0.25">
      <c r="K456" s="16"/>
    </row>
    <row r="457" spans="11:11" x14ac:dyDescent="0.25">
      <c r="K457" s="16"/>
    </row>
    <row r="458" spans="11:11" x14ac:dyDescent="0.25">
      <c r="K458" s="16"/>
    </row>
    <row r="459" spans="11:11" x14ac:dyDescent="0.25">
      <c r="K459" s="16"/>
    </row>
    <row r="460" spans="11:11" x14ac:dyDescent="0.25">
      <c r="K460" s="16"/>
    </row>
    <row r="461" spans="11:11" x14ac:dyDescent="0.25">
      <c r="K461" s="16"/>
    </row>
    <row r="462" spans="11:11" x14ac:dyDescent="0.25">
      <c r="K462" s="16"/>
    </row>
    <row r="463" spans="11:11" x14ac:dyDescent="0.25">
      <c r="K463" s="16"/>
    </row>
    <row r="464" spans="11:11" x14ac:dyDescent="0.25">
      <c r="K464" s="16"/>
    </row>
    <row r="465" spans="11:11" x14ac:dyDescent="0.25">
      <c r="K465" s="16"/>
    </row>
    <row r="466" spans="11:11" x14ac:dyDescent="0.25">
      <c r="K466" s="16"/>
    </row>
    <row r="467" spans="11:11" x14ac:dyDescent="0.25">
      <c r="K467" s="16"/>
    </row>
    <row r="468" spans="11:11" x14ac:dyDescent="0.25">
      <c r="K468" s="16"/>
    </row>
    <row r="469" spans="11:11" x14ac:dyDescent="0.25">
      <c r="K469" s="16"/>
    </row>
    <row r="470" spans="11:11" x14ac:dyDescent="0.25">
      <c r="K470" s="16"/>
    </row>
    <row r="471" spans="11:11" x14ac:dyDescent="0.25">
      <c r="K471" s="16"/>
    </row>
    <row r="472" spans="11:11" x14ac:dyDescent="0.25">
      <c r="K472" s="16"/>
    </row>
    <row r="473" spans="11:11" x14ac:dyDescent="0.25">
      <c r="K473" s="16"/>
    </row>
    <row r="474" spans="11:11" x14ac:dyDescent="0.25">
      <c r="K474" s="16"/>
    </row>
    <row r="475" spans="11:11" x14ac:dyDescent="0.25">
      <c r="K475" s="16"/>
    </row>
    <row r="476" spans="11:11" x14ac:dyDescent="0.25">
      <c r="K476" s="16"/>
    </row>
    <row r="477" spans="11:11" x14ac:dyDescent="0.25">
      <c r="K477" s="16"/>
    </row>
    <row r="478" spans="11:11" x14ac:dyDescent="0.25">
      <c r="K478" s="16"/>
    </row>
    <row r="479" spans="11:11" x14ac:dyDescent="0.25">
      <c r="K479" s="16"/>
    </row>
    <row r="480" spans="11:11" x14ac:dyDescent="0.25">
      <c r="K480" s="16"/>
    </row>
    <row r="481" spans="11:11" x14ac:dyDescent="0.25">
      <c r="K481" s="16"/>
    </row>
    <row r="482" spans="11:11" x14ac:dyDescent="0.25">
      <c r="K482" s="16"/>
    </row>
    <row r="483" spans="11:11" x14ac:dyDescent="0.25">
      <c r="K483" s="16"/>
    </row>
    <row r="484" spans="11:11" x14ac:dyDescent="0.25">
      <c r="K484" s="16"/>
    </row>
    <row r="485" spans="11:11" x14ac:dyDescent="0.25">
      <c r="K485" s="16"/>
    </row>
    <row r="486" spans="11:11" x14ac:dyDescent="0.25">
      <c r="K486" s="16"/>
    </row>
    <row r="487" spans="11:11" x14ac:dyDescent="0.25">
      <c r="K487" s="16"/>
    </row>
    <row r="488" spans="11:11" x14ac:dyDescent="0.25">
      <c r="K488" s="16"/>
    </row>
    <row r="489" spans="11:11" x14ac:dyDescent="0.25">
      <c r="K489" s="16"/>
    </row>
    <row r="490" spans="11:11" x14ac:dyDescent="0.25">
      <c r="K490" s="16"/>
    </row>
    <row r="491" spans="11:11" x14ac:dyDescent="0.25">
      <c r="K491" s="16"/>
    </row>
    <row r="492" spans="11:11" x14ac:dyDescent="0.25">
      <c r="K492" s="16"/>
    </row>
    <row r="493" spans="11:11" x14ac:dyDescent="0.25">
      <c r="K493" s="16"/>
    </row>
    <row r="494" spans="11:11" x14ac:dyDescent="0.25">
      <c r="K494" s="16"/>
    </row>
    <row r="495" spans="11:11" x14ac:dyDescent="0.25">
      <c r="K495" s="16"/>
    </row>
    <row r="496" spans="11:11" x14ac:dyDescent="0.25">
      <c r="K496" s="16"/>
    </row>
    <row r="497" spans="11:11" x14ac:dyDescent="0.25">
      <c r="K497" s="16"/>
    </row>
    <row r="498" spans="11:11" x14ac:dyDescent="0.25">
      <c r="K498" s="16"/>
    </row>
    <row r="499" spans="11:11" x14ac:dyDescent="0.25">
      <c r="K499" s="16"/>
    </row>
    <row r="500" spans="11:11" x14ac:dyDescent="0.25">
      <c r="K500" s="16"/>
    </row>
    <row r="501" spans="11:11" x14ac:dyDescent="0.25">
      <c r="K501" s="16"/>
    </row>
    <row r="502" spans="11:11" x14ac:dyDescent="0.25">
      <c r="K502" s="16"/>
    </row>
    <row r="503" spans="11:11" x14ac:dyDescent="0.25">
      <c r="K503" s="16"/>
    </row>
    <row r="504" spans="11:11" x14ac:dyDescent="0.25">
      <c r="K504" s="16"/>
    </row>
    <row r="505" spans="11:11" x14ac:dyDescent="0.25">
      <c r="K505" s="16"/>
    </row>
    <row r="506" spans="11:11" x14ac:dyDescent="0.25">
      <c r="K506" s="16"/>
    </row>
    <row r="507" spans="11:11" x14ac:dyDescent="0.25">
      <c r="K507" s="16"/>
    </row>
    <row r="508" spans="11:11" x14ac:dyDescent="0.25">
      <c r="K508" s="16"/>
    </row>
    <row r="509" spans="11:11" x14ac:dyDescent="0.25">
      <c r="K509" s="16"/>
    </row>
    <row r="510" spans="11:11" x14ac:dyDescent="0.25">
      <c r="K510" s="16"/>
    </row>
    <row r="511" spans="11:11" x14ac:dyDescent="0.25">
      <c r="K511" s="16"/>
    </row>
    <row r="512" spans="11:11" x14ac:dyDescent="0.25">
      <c r="K512" s="16"/>
    </row>
    <row r="513" spans="11:11" x14ac:dyDescent="0.25">
      <c r="K513" s="16"/>
    </row>
    <row r="514" spans="11:11" x14ac:dyDescent="0.25">
      <c r="K514" s="16"/>
    </row>
    <row r="515" spans="11:11" x14ac:dyDescent="0.25">
      <c r="K515" s="16"/>
    </row>
    <row r="516" spans="11:11" x14ac:dyDescent="0.25">
      <c r="K516" s="16"/>
    </row>
    <row r="517" spans="11:11" x14ac:dyDescent="0.25">
      <c r="K517" s="16"/>
    </row>
    <row r="518" spans="11:11" x14ac:dyDescent="0.25">
      <c r="K518" s="16"/>
    </row>
    <row r="519" spans="11:11" x14ac:dyDescent="0.25">
      <c r="K519" s="16"/>
    </row>
    <row r="520" spans="11:11" x14ac:dyDescent="0.25">
      <c r="K520" s="16"/>
    </row>
    <row r="521" spans="11:11" x14ac:dyDescent="0.25">
      <c r="K521" s="16"/>
    </row>
    <row r="522" spans="11:11" x14ac:dyDescent="0.25">
      <c r="K522" s="16"/>
    </row>
    <row r="523" spans="11:11" x14ac:dyDescent="0.25">
      <c r="K523" s="16"/>
    </row>
    <row r="524" spans="11:11" x14ac:dyDescent="0.25">
      <c r="K524" s="16"/>
    </row>
    <row r="525" spans="11:11" x14ac:dyDescent="0.25">
      <c r="K525" s="16"/>
    </row>
    <row r="526" spans="11:11" x14ac:dyDescent="0.25">
      <c r="K526" s="16"/>
    </row>
    <row r="527" spans="11:11" x14ac:dyDescent="0.25">
      <c r="K527" s="16"/>
    </row>
    <row r="528" spans="11:11" x14ac:dyDescent="0.25">
      <c r="K528" s="16"/>
    </row>
    <row r="529" spans="11:11" x14ac:dyDescent="0.25">
      <c r="K529" s="16"/>
    </row>
    <row r="530" spans="11:11" x14ac:dyDescent="0.25">
      <c r="K530" s="16"/>
    </row>
    <row r="531" spans="11:11" x14ac:dyDescent="0.25">
      <c r="K531" s="16"/>
    </row>
    <row r="532" spans="11:11" x14ac:dyDescent="0.25">
      <c r="K532" s="16"/>
    </row>
    <row r="533" spans="11:11" x14ac:dyDescent="0.25">
      <c r="K533" s="16"/>
    </row>
    <row r="534" spans="11:11" x14ac:dyDescent="0.25">
      <c r="K534" s="16"/>
    </row>
    <row r="535" spans="11:11" x14ac:dyDescent="0.25">
      <c r="K535" s="16"/>
    </row>
    <row r="536" spans="11:11" x14ac:dyDescent="0.25">
      <c r="K536" s="16"/>
    </row>
    <row r="537" spans="11:11" x14ac:dyDescent="0.25">
      <c r="K537" s="16"/>
    </row>
    <row r="538" spans="11:11" x14ac:dyDescent="0.25">
      <c r="K538" s="16"/>
    </row>
    <row r="539" spans="11:11" x14ac:dyDescent="0.25">
      <c r="K539" s="16"/>
    </row>
    <row r="540" spans="11:11" x14ac:dyDescent="0.25">
      <c r="K540" s="16"/>
    </row>
    <row r="541" spans="11:11" x14ac:dyDescent="0.25">
      <c r="K541" s="16"/>
    </row>
    <row r="542" spans="11:11" x14ac:dyDescent="0.25">
      <c r="K542" s="16"/>
    </row>
    <row r="543" spans="11:11" x14ac:dyDescent="0.25">
      <c r="K543" s="16"/>
    </row>
    <row r="544" spans="11:11" x14ac:dyDescent="0.25">
      <c r="K544" s="16"/>
    </row>
    <row r="545" spans="11:11" x14ac:dyDescent="0.25">
      <c r="K545" s="16"/>
    </row>
    <row r="546" spans="11:11" x14ac:dyDescent="0.25">
      <c r="K546" s="16"/>
    </row>
    <row r="547" spans="11:11" x14ac:dyDescent="0.25">
      <c r="K547" s="16"/>
    </row>
    <row r="548" spans="11:11" x14ac:dyDescent="0.25">
      <c r="K548" s="16"/>
    </row>
    <row r="549" spans="11:11" x14ac:dyDescent="0.25">
      <c r="K549" s="16"/>
    </row>
    <row r="550" spans="11:11" x14ac:dyDescent="0.25">
      <c r="K550" s="16"/>
    </row>
    <row r="551" spans="11:11" x14ac:dyDescent="0.25">
      <c r="K551" s="16"/>
    </row>
    <row r="552" spans="11:11" x14ac:dyDescent="0.25">
      <c r="K552" s="16"/>
    </row>
    <row r="553" spans="11:11" x14ac:dyDescent="0.25">
      <c r="K553" s="16"/>
    </row>
    <row r="554" spans="11:11" x14ac:dyDescent="0.25">
      <c r="K554" s="16"/>
    </row>
    <row r="555" spans="11:11" x14ac:dyDescent="0.25">
      <c r="K555" s="16"/>
    </row>
    <row r="556" spans="11:11" x14ac:dyDescent="0.25">
      <c r="K556" s="16"/>
    </row>
    <row r="557" spans="11:11" x14ac:dyDescent="0.25">
      <c r="K557" s="16"/>
    </row>
    <row r="558" spans="11:11" x14ac:dyDescent="0.25">
      <c r="K558" s="16"/>
    </row>
    <row r="559" spans="11:11" x14ac:dyDescent="0.25">
      <c r="K559" s="16"/>
    </row>
    <row r="560" spans="11:11" x14ac:dyDescent="0.25">
      <c r="K560" s="16"/>
    </row>
    <row r="561" spans="11:11" x14ac:dyDescent="0.25">
      <c r="K561" s="16"/>
    </row>
    <row r="562" spans="11:11" x14ac:dyDescent="0.25">
      <c r="K562" s="16"/>
    </row>
    <row r="563" spans="11:11" x14ac:dyDescent="0.25">
      <c r="K563" s="16"/>
    </row>
    <row r="564" spans="11:11" x14ac:dyDescent="0.25">
      <c r="K564" s="16"/>
    </row>
    <row r="565" spans="11:11" x14ac:dyDescent="0.25">
      <c r="K565" s="16"/>
    </row>
    <row r="566" spans="11:11" x14ac:dyDescent="0.25">
      <c r="K566" s="16"/>
    </row>
    <row r="567" spans="11:11" x14ac:dyDescent="0.25">
      <c r="K567" s="16"/>
    </row>
    <row r="568" spans="11:11" x14ac:dyDescent="0.25">
      <c r="K568" s="16"/>
    </row>
    <row r="569" spans="11:11" x14ac:dyDescent="0.25">
      <c r="K569" s="16"/>
    </row>
    <row r="570" spans="11:11" x14ac:dyDescent="0.25">
      <c r="K570" s="16"/>
    </row>
    <row r="571" spans="11:11" x14ac:dyDescent="0.25">
      <c r="K571" s="16"/>
    </row>
    <row r="572" spans="11:11" x14ac:dyDescent="0.25">
      <c r="K572" s="16"/>
    </row>
    <row r="573" spans="11:11" x14ac:dyDescent="0.25">
      <c r="K573" s="16"/>
    </row>
    <row r="574" spans="11:11" x14ac:dyDescent="0.25">
      <c r="K574" s="16"/>
    </row>
    <row r="575" spans="11:11" x14ac:dyDescent="0.25">
      <c r="K575" s="16"/>
    </row>
    <row r="576" spans="11:11" x14ac:dyDescent="0.25">
      <c r="K576" s="16"/>
    </row>
    <row r="577" spans="11:11" x14ac:dyDescent="0.25">
      <c r="K577" s="16"/>
    </row>
    <row r="578" spans="11:11" x14ac:dyDescent="0.25">
      <c r="K578" s="16"/>
    </row>
    <row r="579" spans="11:11" x14ac:dyDescent="0.25">
      <c r="K579" s="16"/>
    </row>
    <row r="580" spans="11:11" x14ac:dyDescent="0.25">
      <c r="K580" s="16"/>
    </row>
    <row r="581" spans="11:11" x14ac:dyDescent="0.25">
      <c r="K581" s="16"/>
    </row>
    <row r="582" spans="11:11" x14ac:dyDescent="0.25">
      <c r="K582" s="16"/>
    </row>
    <row r="583" spans="11:11" x14ac:dyDescent="0.25">
      <c r="K583" s="16"/>
    </row>
    <row r="584" spans="11:11" x14ac:dyDescent="0.25">
      <c r="K584" s="16"/>
    </row>
    <row r="585" spans="11:11" x14ac:dyDescent="0.25">
      <c r="K585" s="16"/>
    </row>
    <row r="586" spans="11:11" x14ac:dyDescent="0.25">
      <c r="K586" s="16"/>
    </row>
    <row r="587" spans="11:11" x14ac:dyDescent="0.25">
      <c r="K587" s="16"/>
    </row>
    <row r="588" spans="11:11" x14ac:dyDescent="0.25">
      <c r="K588" s="16"/>
    </row>
    <row r="589" spans="11:11" x14ac:dyDescent="0.25">
      <c r="K589" s="16"/>
    </row>
    <row r="590" spans="11:11" x14ac:dyDescent="0.25">
      <c r="K590" s="16"/>
    </row>
    <row r="591" spans="11:11" x14ac:dyDescent="0.25">
      <c r="K591" s="16"/>
    </row>
    <row r="592" spans="11:11" x14ac:dyDescent="0.25">
      <c r="K592" s="16"/>
    </row>
    <row r="593" spans="11:11" x14ac:dyDescent="0.25">
      <c r="K593" s="16"/>
    </row>
    <row r="594" spans="11:11" x14ac:dyDescent="0.25">
      <c r="K594" s="16"/>
    </row>
    <row r="595" spans="11:11" x14ac:dyDescent="0.25">
      <c r="K595" s="16"/>
    </row>
    <row r="596" spans="11:11" x14ac:dyDescent="0.25">
      <c r="K596" s="16"/>
    </row>
    <row r="597" spans="11:11" x14ac:dyDescent="0.25">
      <c r="K597" s="16"/>
    </row>
    <row r="598" spans="11:11" x14ac:dyDescent="0.25">
      <c r="K598" s="16"/>
    </row>
    <row r="599" spans="11:11" x14ac:dyDescent="0.25">
      <c r="K599" s="16"/>
    </row>
    <row r="600" spans="11:11" x14ac:dyDescent="0.25">
      <c r="K600" s="16"/>
    </row>
    <row r="601" spans="11:11" x14ac:dyDescent="0.25">
      <c r="K601" s="16"/>
    </row>
    <row r="602" spans="11:11" x14ac:dyDescent="0.25">
      <c r="K602" s="16"/>
    </row>
    <row r="603" spans="11:11" x14ac:dyDescent="0.25">
      <c r="K603" s="16"/>
    </row>
    <row r="604" spans="11:11" x14ac:dyDescent="0.25">
      <c r="K604" s="16"/>
    </row>
    <row r="605" spans="11:11" x14ac:dyDescent="0.25">
      <c r="K605" s="16"/>
    </row>
    <row r="606" spans="11:11" x14ac:dyDescent="0.25">
      <c r="K606" s="16"/>
    </row>
    <row r="607" spans="11:11" x14ac:dyDescent="0.25">
      <c r="K607" s="16"/>
    </row>
    <row r="608" spans="11:11" x14ac:dyDescent="0.25">
      <c r="K608" s="16"/>
    </row>
    <row r="609" spans="11:11" x14ac:dyDescent="0.25">
      <c r="K609" s="16"/>
    </row>
    <row r="610" spans="11:11" x14ac:dyDescent="0.25">
      <c r="K610" s="16"/>
    </row>
    <row r="611" spans="11:11" x14ac:dyDescent="0.25">
      <c r="K611" s="16"/>
    </row>
    <row r="612" spans="11:11" x14ac:dyDescent="0.25">
      <c r="K612" s="16"/>
    </row>
    <row r="613" spans="11:11" x14ac:dyDescent="0.25">
      <c r="K613" s="16"/>
    </row>
    <row r="614" spans="11:11" x14ac:dyDescent="0.25">
      <c r="K614" s="16"/>
    </row>
    <row r="615" spans="11:11" x14ac:dyDescent="0.25">
      <c r="K615" s="16"/>
    </row>
    <row r="616" spans="11:11" x14ac:dyDescent="0.25">
      <c r="K616" s="16"/>
    </row>
    <row r="617" spans="11:11" x14ac:dyDescent="0.25">
      <c r="K617" s="16"/>
    </row>
    <row r="618" spans="11:11" x14ac:dyDescent="0.25">
      <c r="K618" s="16"/>
    </row>
    <row r="619" spans="11:11" x14ac:dyDescent="0.25">
      <c r="K619" s="16"/>
    </row>
    <row r="620" spans="11:11" x14ac:dyDescent="0.25">
      <c r="K620" s="16"/>
    </row>
    <row r="621" spans="11:11" x14ac:dyDescent="0.25">
      <c r="K621" s="16"/>
    </row>
    <row r="622" spans="11:11" x14ac:dyDescent="0.25">
      <c r="K622" s="16"/>
    </row>
    <row r="623" spans="11:11" x14ac:dyDescent="0.25">
      <c r="K623" s="16"/>
    </row>
    <row r="624" spans="11:11" x14ac:dyDescent="0.25">
      <c r="K624" s="16"/>
    </row>
    <row r="625" spans="11:11" x14ac:dyDescent="0.25">
      <c r="K625" s="16"/>
    </row>
    <row r="626" spans="11:11" x14ac:dyDescent="0.25">
      <c r="K626" s="16"/>
    </row>
    <row r="627" spans="11:11" x14ac:dyDescent="0.25">
      <c r="K627" s="16"/>
    </row>
    <row r="628" spans="11:11" x14ac:dyDescent="0.25">
      <c r="K628" s="16"/>
    </row>
    <row r="629" spans="11:11" x14ac:dyDescent="0.25">
      <c r="K629" s="16"/>
    </row>
    <row r="630" spans="11:11" x14ac:dyDescent="0.25">
      <c r="K630" s="16"/>
    </row>
    <row r="631" spans="11:11" x14ac:dyDescent="0.25">
      <c r="K631" s="16"/>
    </row>
    <row r="632" spans="11:11" x14ac:dyDescent="0.25">
      <c r="K632" s="16"/>
    </row>
    <row r="633" spans="11:11" x14ac:dyDescent="0.25">
      <c r="K633" s="16"/>
    </row>
    <row r="634" spans="11:11" x14ac:dyDescent="0.25">
      <c r="K634" s="16"/>
    </row>
    <row r="635" spans="11:11" x14ac:dyDescent="0.25">
      <c r="K635" s="16"/>
    </row>
    <row r="636" spans="11:11" x14ac:dyDescent="0.25">
      <c r="K636" s="16"/>
    </row>
    <row r="637" spans="11:11" x14ac:dyDescent="0.25">
      <c r="K637" s="16"/>
    </row>
    <row r="638" spans="11:11" x14ac:dyDescent="0.25">
      <c r="K638" s="16"/>
    </row>
    <row r="639" spans="11:11" x14ac:dyDescent="0.25">
      <c r="K639" s="16"/>
    </row>
    <row r="640" spans="11:11" x14ac:dyDescent="0.25">
      <c r="K640" s="16"/>
    </row>
    <row r="641" spans="11:11" x14ac:dyDescent="0.25">
      <c r="K641" s="16"/>
    </row>
    <row r="642" spans="11:11" x14ac:dyDescent="0.25">
      <c r="K642" s="16"/>
    </row>
    <row r="643" spans="11:11" x14ac:dyDescent="0.25">
      <c r="K643" s="16"/>
    </row>
    <row r="644" spans="11:11" x14ac:dyDescent="0.25">
      <c r="K644" s="16"/>
    </row>
    <row r="645" spans="11:11" x14ac:dyDescent="0.25">
      <c r="K645" s="16"/>
    </row>
    <row r="646" spans="11:11" x14ac:dyDescent="0.25">
      <c r="K646" s="16"/>
    </row>
    <row r="647" spans="11:11" x14ac:dyDescent="0.25">
      <c r="K647" s="16"/>
    </row>
    <row r="648" spans="11:11" x14ac:dyDescent="0.25">
      <c r="K648" s="16"/>
    </row>
    <row r="649" spans="11:11" x14ac:dyDescent="0.25">
      <c r="K649" s="16"/>
    </row>
    <row r="650" spans="11:11" x14ac:dyDescent="0.25">
      <c r="K650" s="16"/>
    </row>
    <row r="651" spans="11:11" x14ac:dyDescent="0.25">
      <c r="K651" s="16"/>
    </row>
    <row r="652" spans="11:11" x14ac:dyDescent="0.25">
      <c r="K652" s="16"/>
    </row>
    <row r="653" spans="11:11" x14ac:dyDescent="0.25">
      <c r="K653" s="16"/>
    </row>
    <row r="654" spans="11:11" x14ac:dyDescent="0.25">
      <c r="K654" s="16"/>
    </row>
    <row r="655" spans="11:11" x14ac:dyDescent="0.25">
      <c r="K655" s="16"/>
    </row>
    <row r="656" spans="11:11" x14ac:dyDescent="0.25">
      <c r="K656" s="16"/>
    </row>
    <row r="657" spans="11:11" x14ac:dyDescent="0.25">
      <c r="K657" s="16"/>
    </row>
    <row r="658" spans="11:11" x14ac:dyDescent="0.25">
      <c r="K658" s="16"/>
    </row>
    <row r="659" spans="11:11" x14ac:dyDescent="0.25">
      <c r="K659" s="16"/>
    </row>
    <row r="660" spans="11:11" x14ac:dyDescent="0.25">
      <c r="K660" s="16"/>
    </row>
    <row r="661" spans="11:11" x14ac:dyDescent="0.25">
      <c r="K661" s="16"/>
    </row>
    <row r="662" spans="11:11" x14ac:dyDescent="0.25">
      <c r="K662" s="16"/>
    </row>
    <row r="663" spans="11:11" x14ac:dyDescent="0.25">
      <c r="K663" s="16"/>
    </row>
    <row r="664" spans="11:11" x14ac:dyDescent="0.25">
      <c r="K664" s="16"/>
    </row>
    <row r="665" spans="11:11" x14ac:dyDescent="0.25">
      <c r="K665" s="16"/>
    </row>
    <row r="666" spans="11:11" x14ac:dyDescent="0.25">
      <c r="K666" s="16"/>
    </row>
    <row r="667" spans="11:11" x14ac:dyDescent="0.25">
      <c r="K667" s="16"/>
    </row>
    <row r="668" spans="11:11" x14ac:dyDescent="0.25">
      <c r="K668" s="16"/>
    </row>
    <row r="669" spans="11:11" x14ac:dyDescent="0.25">
      <c r="K669" s="16"/>
    </row>
    <row r="670" spans="11:11" x14ac:dyDescent="0.25">
      <c r="K670" s="16"/>
    </row>
    <row r="671" spans="11:11" x14ac:dyDescent="0.25">
      <c r="K671" s="16"/>
    </row>
    <row r="672" spans="11:11" x14ac:dyDescent="0.25">
      <c r="K672" s="16"/>
    </row>
    <row r="673" spans="11:11" x14ac:dyDescent="0.25">
      <c r="K673" s="16"/>
    </row>
    <row r="674" spans="11:11" x14ac:dyDescent="0.25">
      <c r="K674" s="16"/>
    </row>
    <row r="675" spans="11:11" x14ac:dyDescent="0.25">
      <c r="K675" s="16"/>
    </row>
    <row r="676" spans="11:11" x14ac:dyDescent="0.25">
      <c r="K676" s="16"/>
    </row>
    <row r="677" spans="11:11" x14ac:dyDescent="0.25">
      <c r="K677" s="16"/>
    </row>
    <row r="678" spans="11:11" x14ac:dyDescent="0.25">
      <c r="K678" s="16"/>
    </row>
    <row r="679" spans="11:11" x14ac:dyDescent="0.25">
      <c r="K679" s="16"/>
    </row>
    <row r="680" spans="11:11" x14ac:dyDescent="0.25">
      <c r="K680" s="16"/>
    </row>
    <row r="681" spans="11:11" x14ac:dyDescent="0.25">
      <c r="K681" s="16"/>
    </row>
    <row r="682" spans="11:11" x14ac:dyDescent="0.25">
      <c r="K682" s="16"/>
    </row>
    <row r="683" spans="11:11" x14ac:dyDescent="0.25">
      <c r="K683" s="16"/>
    </row>
    <row r="684" spans="11:11" x14ac:dyDescent="0.25">
      <c r="K684" s="16"/>
    </row>
    <row r="685" spans="11:11" x14ac:dyDescent="0.25">
      <c r="K685" s="16"/>
    </row>
    <row r="686" spans="11:11" x14ac:dyDescent="0.25">
      <c r="K686" s="16"/>
    </row>
    <row r="687" spans="11:11" x14ac:dyDescent="0.25">
      <c r="K687" s="16"/>
    </row>
    <row r="688" spans="11:11" x14ac:dyDescent="0.25">
      <c r="K688" s="16"/>
    </row>
    <row r="689" spans="11:11" x14ac:dyDescent="0.25">
      <c r="K689" s="16"/>
    </row>
    <row r="690" spans="11:11" x14ac:dyDescent="0.25">
      <c r="K690" s="16"/>
    </row>
    <row r="691" spans="11:11" x14ac:dyDescent="0.25">
      <c r="K691" s="16"/>
    </row>
    <row r="692" spans="11:11" x14ac:dyDescent="0.25">
      <c r="K692" s="16"/>
    </row>
    <row r="693" spans="11:11" x14ac:dyDescent="0.25">
      <c r="K693" s="16"/>
    </row>
    <row r="694" spans="11:11" x14ac:dyDescent="0.25">
      <c r="K694" s="16"/>
    </row>
    <row r="695" spans="11:11" x14ac:dyDescent="0.25">
      <c r="K695" s="16"/>
    </row>
    <row r="696" spans="11:11" x14ac:dyDescent="0.25">
      <c r="K696" s="16"/>
    </row>
    <row r="697" spans="11:11" x14ac:dyDescent="0.25">
      <c r="K697" s="16"/>
    </row>
    <row r="698" spans="11:11" x14ac:dyDescent="0.25">
      <c r="K698" s="16"/>
    </row>
    <row r="699" spans="11:11" x14ac:dyDescent="0.25">
      <c r="K699" s="16"/>
    </row>
    <row r="700" spans="11:11" x14ac:dyDescent="0.25">
      <c r="K700" s="16"/>
    </row>
    <row r="701" spans="11:11" x14ac:dyDescent="0.25">
      <c r="K701" s="16"/>
    </row>
    <row r="702" spans="11:11" x14ac:dyDescent="0.25">
      <c r="K702" s="16"/>
    </row>
    <row r="703" spans="11:11" x14ac:dyDescent="0.25">
      <c r="K703" s="16"/>
    </row>
    <row r="704" spans="11:11" x14ac:dyDescent="0.25">
      <c r="K704" s="16"/>
    </row>
    <row r="705" spans="11:11" x14ac:dyDescent="0.25">
      <c r="K705" s="16"/>
    </row>
    <row r="706" spans="11:11" x14ac:dyDescent="0.25">
      <c r="K706" s="16"/>
    </row>
    <row r="707" spans="11:11" x14ac:dyDescent="0.25">
      <c r="K707" s="16"/>
    </row>
    <row r="708" spans="11:11" x14ac:dyDescent="0.25">
      <c r="K708" s="16"/>
    </row>
    <row r="709" spans="11:11" x14ac:dyDescent="0.25">
      <c r="K709" s="16"/>
    </row>
    <row r="710" spans="11:11" x14ac:dyDescent="0.25">
      <c r="K710" s="16"/>
    </row>
    <row r="711" spans="11:11" x14ac:dyDescent="0.25">
      <c r="K711" s="16"/>
    </row>
    <row r="712" spans="11:11" x14ac:dyDescent="0.25">
      <c r="K712" s="16"/>
    </row>
    <row r="713" spans="11:11" x14ac:dyDescent="0.25">
      <c r="K713" s="16"/>
    </row>
    <row r="714" spans="11:11" x14ac:dyDescent="0.25">
      <c r="K714" s="16"/>
    </row>
    <row r="715" spans="11:11" x14ac:dyDescent="0.25">
      <c r="K715" s="16"/>
    </row>
    <row r="716" spans="11:11" x14ac:dyDescent="0.25">
      <c r="K716" s="16"/>
    </row>
    <row r="717" spans="11:11" x14ac:dyDescent="0.25">
      <c r="K717" s="16"/>
    </row>
    <row r="718" spans="11:11" x14ac:dyDescent="0.25">
      <c r="K718" s="16"/>
    </row>
    <row r="719" spans="11:11" x14ac:dyDescent="0.25">
      <c r="K719" s="16"/>
    </row>
    <row r="720" spans="11:11" x14ac:dyDescent="0.25">
      <c r="K720" s="16"/>
    </row>
    <row r="721" spans="11:11" x14ac:dyDescent="0.25">
      <c r="K721" s="16"/>
    </row>
    <row r="722" spans="11:11" x14ac:dyDescent="0.25">
      <c r="K722" s="16"/>
    </row>
    <row r="723" spans="11:11" x14ac:dyDescent="0.25">
      <c r="K723" s="16"/>
    </row>
    <row r="724" spans="11:11" x14ac:dyDescent="0.25">
      <c r="K724" s="16"/>
    </row>
    <row r="725" spans="11:11" x14ac:dyDescent="0.25">
      <c r="K725" s="16"/>
    </row>
    <row r="726" spans="11:11" x14ac:dyDescent="0.25">
      <c r="K726" s="16"/>
    </row>
    <row r="727" spans="11:11" x14ac:dyDescent="0.25">
      <c r="K727" s="16"/>
    </row>
    <row r="728" spans="11:11" x14ac:dyDescent="0.25">
      <c r="K728" s="16"/>
    </row>
    <row r="729" spans="11:11" x14ac:dyDescent="0.25">
      <c r="K729" s="16"/>
    </row>
    <row r="730" spans="11:11" x14ac:dyDescent="0.25">
      <c r="K730" s="16"/>
    </row>
    <row r="731" spans="11:11" x14ac:dyDescent="0.25">
      <c r="K731" s="16"/>
    </row>
    <row r="732" spans="11:11" x14ac:dyDescent="0.25">
      <c r="K732" s="16"/>
    </row>
    <row r="733" spans="11:11" x14ac:dyDescent="0.25">
      <c r="K733" s="16"/>
    </row>
    <row r="734" spans="11:11" x14ac:dyDescent="0.25">
      <c r="K734" s="16"/>
    </row>
    <row r="735" spans="11:11" x14ac:dyDescent="0.25">
      <c r="K735" s="16"/>
    </row>
    <row r="736" spans="11:11" x14ac:dyDescent="0.25">
      <c r="K736" s="16"/>
    </row>
    <row r="737" spans="11:11" x14ac:dyDescent="0.25">
      <c r="K737" s="16"/>
    </row>
    <row r="738" spans="11:11" x14ac:dyDescent="0.25">
      <c r="K738" s="16"/>
    </row>
    <row r="739" spans="11:11" x14ac:dyDescent="0.25">
      <c r="K739" s="16"/>
    </row>
    <row r="740" spans="11:11" x14ac:dyDescent="0.25">
      <c r="K740" s="16"/>
    </row>
    <row r="741" spans="11:11" x14ac:dyDescent="0.25">
      <c r="K741" s="16"/>
    </row>
    <row r="742" spans="11:11" x14ac:dyDescent="0.25">
      <c r="K742" s="16"/>
    </row>
    <row r="743" spans="11:11" x14ac:dyDescent="0.25">
      <c r="K743" s="16"/>
    </row>
    <row r="744" spans="11:11" x14ac:dyDescent="0.25">
      <c r="K744" s="16"/>
    </row>
    <row r="745" spans="11:11" x14ac:dyDescent="0.25">
      <c r="K745" s="16"/>
    </row>
    <row r="746" spans="11:11" x14ac:dyDescent="0.25">
      <c r="K746" s="16"/>
    </row>
    <row r="747" spans="11:11" x14ac:dyDescent="0.25">
      <c r="K747" s="16"/>
    </row>
    <row r="748" spans="11:11" x14ac:dyDescent="0.25">
      <c r="K748" s="16"/>
    </row>
    <row r="749" spans="11:11" x14ac:dyDescent="0.25">
      <c r="K749" s="16"/>
    </row>
    <row r="750" spans="11:11" x14ac:dyDescent="0.25">
      <c r="K750" s="16"/>
    </row>
    <row r="751" spans="11:11" x14ac:dyDescent="0.25">
      <c r="K751" s="16"/>
    </row>
    <row r="752" spans="11:11" x14ac:dyDescent="0.25">
      <c r="K752" s="16"/>
    </row>
    <row r="753" spans="11:11" x14ac:dyDescent="0.25">
      <c r="K753" s="16"/>
    </row>
    <row r="754" spans="11:11" x14ac:dyDescent="0.25">
      <c r="K754" s="16"/>
    </row>
    <row r="755" spans="11:11" x14ac:dyDescent="0.25">
      <c r="K755" s="16"/>
    </row>
    <row r="756" spans="11:11" x14ac:dyDescent="0.25">
      <c r="K756" s="16"/>
    </row>
    <row r="757" spans="11:11" x14ac:dyDescent="0.25">
      <c r="K757" s="16"/>
    </row>
    <row r="758" spans="11:11" x14ac:dyDescent="0.25">
      <c r="K758" s="16"/>
    </row>
    <row r="759" spans="11:11" x14ac:dyDescent="0.25">
      <c r="K759" s="16"/>
    </row>
    <row r="760" spans="11:11" x14ac:dyDescent="0.25">
      <c r="K760" s="16"/>
    </row>
    <row r="761" spans="11:11" x14ac:dyDescent="0.25">
      <c r="K761" s="16"/>
    </row>
    <row r="762" spans="11:11" x14ac:dyDescent="0.25">
      <c r="K762" s="16"/>
    </row>
    <row r="763" spans="11:11" x14ac:dyDescent="0.25">
      <c r="K763" s="16"/>
    </row>
    <row r="764" spans="11:11" x14ac:dyDescent="0.25">
      <c r="K764" s="16"/>
    </row>
    <row r="765" spans="11:11" x14ac:dyDescent="0.25">
      <c r="K765" s="16"/>
    </row>
    <row r="766" spans="11:11" x14ac:dyDescent="0.25">
      <c r="K766" s="16"/>
    </row>
    <row r="767" spans="11:11" x14ac:dyDescent="0.25">
      <c r="K767" s="16"/>
    </row>
    <row r="768" spans="11:11" x14ac:dyDescent="0.25">
      <c r="K768" s="16"/>
    </row>
    <row r="769" spans="11:11" x14ac:dyDescent="0.25">
      <c r="K769" s="16"/>
    </row>
    <row r="770" spans="11:11" x14ac:dyDescent="0.25">
      <c r="K770" s="16"/>
    </row>
    <row r="771" spans="11:11" x14ac:dyDescent="0.25">
      <c r="K771" s="16"/>
    </row>
    <row r="772" spans="11:11" x14ac:dyDescent="0.25">
      <c r="K772" s="16"/>
    </row>
    <row r="773" spans="11:11" x14ac:dyDescent="0.25">
      <c r="K773" s="16"/>
    </row>
    <row r="774" spans="11:11" x14ac:dyDescent="0.25">
      <c r="K774" s="16"/>
    </row>
    <row r="775" spans="11:11" x14ac:dyDescent="0.25">
      <c r="K775" s="16"/>
    </row>
    <row r="776" spans="11:11" x14ac:dyDescent="0.25">
      <c r="K776" s="16"/>
    </row>
    <row r="777" spans="11:11" x14ac:dyDescent="0.25">
      <c r="K777" s="16"/>
    </row>
    <row r="778" spans="11:11" x14ac:dyDescent="0.25">
      <c r="K778" s="16"/>
    </row>
    <row r="779" spans="11:11" x14ac:dyDescent="0.25">
      <c r="K779" s="16"/>
    </row>
    <row r="780" spans="11:11" x14ac:dyDescent="0.25">
      <c r="K780" s="16"/>
    </row>
    <row r="781" spans="11:11" x14ac:dyDescent="0.25">
      <c r="K781" s="16"/>
    </row>
    <row r="782" spans="11:11" x14ac:dyDescent="0.25">
      <c r="K782" s="16"/>
    </row>
    <row r="783" spans="11:11" x14ac:dyDescent="0.25">
      <c r="K783" s="16"/>
    </row>
    <row r="784" spans="11:11" x14ac:dyDescent="0.25">
      <c r="K784" s="16"/>
    </row>
    <row r="785" spans="11:11" x14ac:dyDescent="0.25">
      <c r="K785" s="16"/>
    </row>
    <row r="786" spans="11:11" x14ac:dyDescent="0.25">
      <c r="K786" s="16"/>
    </row>
    <row r="787" spans="11:11" x14ac:dyDescent="0.25">
      <c r="K787" s="16"/>
    </row>
    <row r="788" spans="11:11" x14ac:dyDescent="0.25">
      <c r="K788" s="16"/>
    </row>
    <row r="789" spans="11:11" x14ac:dyDescent="0.25">
      <c r="K789" s="16"/>
    </row>
    <row r="790" spans="11:11" x14ac:dyDescent="0.25">
      <c r="K790" s="16"/>
    </row>
    <row r="791" spans="11:11" x14ac:dyDescent="0.25">
      <c r="K791" s="16"/>
    </row>
    <row r="792" spans="11:11" x14ac:dyDescent="0.25">
      <c r="K792" s="16"/>
    </row>
    <row r="793" spans="11:11" x14ac:dyDescent="0.25">
      <c r="K793" s="16"/>
    </row>
    <row r="794" spans="11:11" x14ac:dyDescent="0.25">
      <c r="K794" s="16"/>
    </row>
    <row r="795" spans="11:11" x14ac:dyDescent="0.25">
      <c r="K795" s="16"/>
    </row>
    <row r="796" spans="11:11" x14ac:dyDescent="0.25">
      <c r="K796" s="16"/>
    </row>
    <row r="797" spans="11:11" x14ac:dyDescent="0.25">
      <c r="K797" s="16"/>
    </row>
    <row r="798" spans="11:11" x14ac:dyDescent="0.25">
      <c r="K798" s="16"/>
    </row>
    <row r="799" spans="11:11" x14ac:dyDescent="0.25">
      <c r="K799" s="16"/>
    </row>
    <row r="800" spans="11:11" x14ac:dyDescent="0.25">
      <c r="K800" s="16"/>
    </row>
    <row r="801" spans="11:11" x14ac:dyDescent="0.25">
      <c r="K801" s="16"/>
    </row>
    <row r="802" spans="11:11" x14ac:dyDescent="0.25">
      <c r="K802" s="16"/>
    </row>
    <row r="803" spans="11:11" x14ac:dyDescent="0.25">
      <c r="K803" s="16"/>
    </row>
    <row r="804" spans="11:11" x14ac:dyDescent="0.25">
      <c r="K804" s="16"/>
    </row>
    <row r="805" spans="11:11" x14ac:dyDescent="0.25">
      <c r="K805" s="16"/>
    </row>
    <row r="806" spans="11:11" x14ac:dyDescent="0.25">
      <c r="K806" s="16"/>
    </row>
    <row r="807" spans="11:11" x14ac:dyDescent="0.25">
      <c r="K807" s="16"/>
    </row>
    <row r="808" spans="11:11" x14ac:dyDescent="0.25">
      <c r="K808" s="16"/>
    </row>
    <row r="809" spans="11:11" x14ac:dyDescent="0.25">
      <c r="K809" s="16"/>
    </row>
    <row r="810" spans="11:11" x14ac:dyDescent="0.25">
      <c r="K810" s="16"/>
    </row>
    <row r="811" spans="11:11" x14ac:dyDescent="0.25">
      <c r="K811" s="16"/>
    </row>
    <row r="812" spans="11:11" x14ac:dyDescent="0.25">
      <c r="K812" s="16"/>
    </row>
    <row r="813" spans="11:11" x14ac:dyDescent="0.25">
      <c r="K813" s="16"/>
    </row>
    <row r="814" spans="11:11" x14ac:dyDescent="0.25">
      <c r="K814" s="16"/>
    </row>
    <row r="815" spans="11:11" x14ac:dyDescent="0.25">
      <c r="K815" s="16"/>
    </row>
    <row r="816" spans="11:11" x14ac:dyDescent="0.25">
      <c r="K816" s="16"/>
    </row>
    <row r="817" spans="11:11" x14ac:dyDescent="0.25">
      <c r="K817" s="16"/>
    </row>
    <row r="818" spans="11:11" x14ac:dyDescent="0.25">
      <c r="K818" s="16"/>
    </row>
    <row r="819" spans="11:11" x14ac:dyDescent="0.25">
      <c r="K819" s="16"/>
    </row>
    <row r="820" spans="11:11" x14ac:dyDescent="0.25">
      <c r="K820" s="16"/>
    </row>
    <row r="821" spans="11:11" x14ac:dyDescent="0.25">
      <c r="K821" s="16"/>
    </row>
    <row r="822" spans="11:11" x14ac:dyDescent="0.25">
      <c r="K822" s="16"/>
    </row>
    <row r="823" spans="11:11" x14ac:dyDescent="0.25">
      <c r="K823" s="16"/>
    </row>
    <row r="824" spans="11:11" x14ac:dyDescent="0.25">
      <c r="K824" s="16"/>
    </row>
    <row r="825" spans="11:11" x14ac:dyDescent="0.25">
      <c r="K825" s="16"/>
    </row>
    <row r="826" spans="11:11" x14ac:dyDescent="0.25">
      <c r="K826" s="16"/>
    </row>
    <row r="827" spans="11:11" x14ac:dyDescent="0.25">
      <c r="K827" s="16"/>
    </row>
    <row r="828" spans="11:11" x14ac:dyDescent="0.25">
      <c r="K828" s="16"/>
    </row>
    <row r="829" spans="11:11" x14ac:dyDescent="0.25">
      <c r="K829" s="16"/>
    </row>
    <row r="830" spans="11:11" x14ac:dyDescent="0.25">
      <c r="K830" s="16"/>
    </row>
    <row r="831" spans="11:11" x14ac:dyDescent="0.25">
      <c r="K831" s="16"/>
    </row>
    <row r="832" spans="11:11" x14ac:dyDescent="0.25">
      <c r="K832" s="16"/>
    </row>
    <row r="833" spans="11:11" x14ac:dyDescent="0.25">
      <c r="K833" s="16"/>
    </row>
    <row r="834" spans="11:11" x14ac:dyDescent="0.25">
      <c r="K834" s="16"/>
    </row>
    <row r="835" spans="11:11" x14ac:dyDescent="0.25">
      <c r="K835" s="16"/>
    </row>
    <row r="836" spans="11:11" x14ac:dyDescent="0.25">
      <c r="K836" s="16"/>
    </row>
    <row r="837" spans="11:11" x14ac:dyDescent="0.25">
      <c r="K837" s="16"/>
    </row>
    <row r="838" spans="11:11" x14ac:dyDescent="0.25">
      <c r="K838" s="16"/>
    </row>
    <row r="839" spans="11:11" x14ac:dyDescent="0.25">
      <c r="K839" s="16"/>
    </row>
    <row r="840" spans="11:11" x14ac:dyDescent="0.25">
      <c r="K840" s="16"/>
    </row>
    <row r="841" spans="11:11" x14ac:dyDescent="0.25">
      <c r="K841" s="16"/>
    </row>
    <row r="842" spans="11:11" x14ac:dyDescent="0.25">
      <c r="K842" s="16"/>
    </row>
    <row r="843" spans="11:11" x14ac:dyDescent="0.25">
      <c r="K843" s="16"/>
    </row>
    <row r="844" spans="11:11" x14ac:dyDescent="0.25">
      <c r="K844" s="16"/>
    </row>
    <row r="845" spans="11:11" x14ac:dyDescent="0.25">
      <c r="K845" s="16"/>
    </row>
    <row r="846" spans="11:11" x14ac:dyDescent="0.25">
      <c r="K846" s="16"/>
    </row>
    <row r="847" spans="11:11" x14ac:dyDescent="0.25">
      <c r="K847" s="16"/>
    </row>
    <row r="848" spans="11:11" x14ac:dyDescent="0.25">
      <c r="K848" s="16"/>
    </row>
    <row r="849" spans="11:11" x14ac:dyDescent="0.25">
      <c r="K849" s="16"/>
    </row>
    <row r="850" spans="11:11" x14ac:dyDescent="0.25">
      <c r="K850" s="16"/>
    </row>
    <row r="851" spans="11:11" x14ac:dyDescent="0.25">
      <c r="K851" s="16"/>
    </row>
    <row r="852" spans="11:11" x14ac:dyDescent="0.25">
      <c r="K852" s="16"/>
    </row>
    <row r="853" spans="11:11" x14ac:dyDescent="0.25">
      <c r="K853" s="16"/>
    </row>
    <row r="854" spans="11:11" x14ac:dyDescent="0.25">
      <c r="K854" s="16"/>
    </row>
    <row r="855" spans="11:11" x14ac:dyDescent="0.25">
      <c r="K855" s="16"/>
    </row>
    <row r="856" spans="11:11" x14ac:dyDescent="0.25">
      <c r="K856" s="16"/>
    </row>
    <row r="857" spans="11:11" x14ac:dyDescent="0.25">
      <c r="K857" s="16"/>
    </row>
    <row r="858" spans="11:11" x14ac:dyDescent="0.25">
      <c r="K858" s="16"/>
    </row>
    <row r="859" spans="11:11" x14ac:dyDescent="0.25">
      <c r="K859" s="16"/>
    </row>
    <row r="860" spans="11:11" x14ac:dyDescent="0.25">
      <c r="K860" s="16"/>
    </row>
    <row r="861" spans="11:11" x14ac:dyDescent="0.25">
      <c r="K861" s="16"/>
    </row>
    <row r="862" spans="11:11" x14ac:dyDescent="0.25">
      <c r="K862" s="16"/>
    </row>
    <row r="863" spans="11:11" x14ac:dyDescent="0.25">
      <c r="K863" s="16"/>
    </row>
    <row r="864" spans="11:11" x14ac:dyDescent="0.25">
      <c r="K864" s="16"/>
    </row>
    <row r="865" spans="11:11" x14ac:dyDescent="0.25">
      <c r="K865" s="16"/>
    </row>
    <row r="866" spans="11:11" x14ac:dyDescent="0.25">
      <c r="K866" s="16"/>
    </row>
    <row r="867" spans="11:11" x14ac:dyDescent="0.25">
      <c r="K867" s="16"/>
    </row>
    <row r="868" spans="11:11" x14ac:dyDescent="0.25">
      <c r="K868" s="16"/>
    </row>
    <row r="869" spans="11:11" x14ac:dyDescent="0.25">
      <c r="K869" s="16"/>
    </row>
    <row r="870" spans="11:11" x14ac:dyDescent="0.25">
      <c r="K870" s="16"/>
    </row>
    <row r="871" spans="11:11" x14ac:dyDescent="0.25">
      <c r="K871" s="16"/>
    </row>
    <row r="872" spans="11:11" x14ac:dyDescent="0.25">
      <c r="K872" s="16"/>
    </row>
    <row r="873" spans="11:11" x14ac:dyDescent="0.25">
      <c r="K873" s="16"/>
    </row>
    <row r="874" spans="11:11" x14ac:dyDescent="0.25">
      <c r="K874" s="16"/>
    </row>
    <row r="875" spans="11:11" x14ac:dyDescent="0.25">
      <c r="K875" s="16"/>
    </row>
    <row r="876" spans="11:11" x14ac:dyDescent="0.25">
      <c r="K876" s="16"/>
    </row>
    <row r="877" spans="11:11" x14ac:dyDescent="0.25">
      <c r="K877" s="16"/>
    </row>
    <row r="878" spans="11:11" x14ac:dyDescent="0.25">
      <c r="K878" s="16"/>
    </row>
    <row r="879" spans="11:11" x14ac:dyDescent="0.25">
      <c r="K879" s="16"/>
    </row>
    <row r="880" spans="11:11" x14ac:dyDescent="0.25">
      <c r="K880" s="16"/>
    </row>
    <row r="881" spans="11:11" x14ac:dyDescent="0.25">
      <c r="K881" s="16"/>
    </row>
    <row r="882" spans="11:11" x14ac:dyDescent="0.25">
      <c r="K882" s="16"/>
    </row>
    <row r="883" spans="11:11" x14ac:dyDescent="0.25">
      <c r="K883" s="16"/>
    </row>
    <row r="884" spans="11:11" x14ac:dyDescent="0.25">
      <c r="K884" s="16"/>
    </row>
    <row r="885" spans="11:11" x14ac:dyDescent="0.25">
      <c r="K885" s="16"/>
    </row>
    <row r="886" spans="11:11" x14ac:dyDescent="0.25">
      <c r="K886" s="16"/>
    </row>
    <row r="887" spans="11:11" x14ac:dyDescent="0.25">
      <c r="K887" s="16"/>
    </row>
    <row r="888" spans="11:11" x14ac:dyDescent="0.25">
      <c r="K888" s="16"/>
    </row>
    <row r="889" spans="11:11" x14ac:dyDescent="0.25">
      <c r="K889" s="16"/>
    </row>
    <row r="890" spans="11:11" x14ac:dyDescent="0.25">
      <c r="K890" s="16"/>
    </row>
    <row r="891" spans="11:11" x14ac:dyDescent="0.25">
      <c r="K891" s="16"/>
    </row>
    <row r="892" spans="11:11" x14ac:dyDescent="0.25">
      <c r="K892" s="16"/>
    </row>
    <row r="893" spans="11:11" x14ac:dyDescent="0.25">
      <c r="K893" s="16"/>
    </row>
    <row r="894" spans="11:11" x14ac:dyDescent="0.25">
      <c r="K894" s="16"/>
    </row>
    <row r="895" spans="11:11" x14ac:dyDescent="0.25">
      <c r="K895" s="16"/>
    </row>
    <row r="896" spans="11:11" x14ac:dyDescent="0.25">
      <c r="K896" s="16"/>
    </row>
    <row r="897" spans="11:11" x14ac:dyDescent="0.25">
      <c r="K897" s="16"/>
    </row>
    <row r="898" spans="11:11" x14ac:dyDescent="0.25">
      <c r="K898" s="16"/>
    </row>
    <row r="899" spans="11:11" x14ac:dyDescent="0.25">
      <c r="K899" s="16"/>
    </row>
    <row r="900" spans="11:11" x14ac:dyDescent="0.25">
      <c r="K900" s="16"/>
    </row>
    <row r="901" spans="11:11" x14ac:dyDescent="0.25">
      <c r="K901" s="16"/>
    </row>
    <row r="902" spans="11:11" x14ac:dyDescent="0.25">
      <c r="K902" s="16"/>
    </row>
    <row r="903" spans="11:11" x14ac:dyDescent="0.25">
      <c r="K903" s="16"/>
    </row>
    <row r="904" spans="11:11" x14ac:dyDescent="0.25">
      <c r="K904" s="16"/>
    </row>
    <row r="905" spans="11:11" x14ac:dyDescent="0.25">
      <c r="K905" s="16"/>
    </row>
    <row r="906" spans="11:11" x14ac:dyDescent="0.25">
      <c r="K906" s="16"/>
    </row>
    <row r="907" spans="11:11" x14ac:dyDescent="0.25">
      <c r="K907" s="16"/>
    </row>
    <row r="908" spans="11:11" x14ac:dyDescent="0.25">
      <c r="K908" s="16"/>
    </row>
    <row r="909" spans="11:11" x14ac:dyDescent="0.25">
      <c r="K909" s="16"/>
    </row>
    <row r="910" spans="11:11" x14ac:dyDescent="0.25">
      <c r="K910" s="16"/>
    </row>
    <row r="911" spans="11:11" x14ac:dyDescent="0.25">
      <c r="K911" s="16"/>
    </row>
    <row r="912" spans="11:11" x14ac:dyDescent="0.25">
      <c r="K912" s="16"/>
    </row>
    <row r="913" spans="11:11" x14ac:dyDescent="0.25">
      <c r="K913" s="16"/>
    </row>
    <row r="914" spans="11:11" x14ac:dyDescent="0.25">
      <c r="K914" s="16"/>
    </row>
    <row r="915" spans="11:11" x14ac:dyDescent="0.25">
      <c r="K915" s="16"/>
    </row>
    <row r="916" spans="11:11" x14ac:dyDescent="0.25">
      <c r="K916" s="16"/>
    </row>
    <row r="917" spans="11:11" x14ac:dyDescent="0.25">
      <c r="K917" s="16"/>
    </row>
    <row r="918" spans="11:11" x14ac:dyDescent="0.25">
      <c r="K918" s="16"/>
    </row>
    <row r="919" spans="11:11" x14ac:dyDescent="0.25">
      <c r="K919" s="16"/>
    </row>
    <row r="920" spans="11:11" x14ac:dyDescent="0.25">
      <c r="K920" s="16"/>
    </row>
    <row r="921" spans="11:11" x14ac:dyDescent="0.25">
      <c r="K921" s="16"/>
    </row>
    <row r="922" spans="11:11" x14ac:dyDescent="0.25">
      <c r="K922" s="16"/>
    </row>
    <row r="923" spans="11:11" x14ac:dyDescent="0.25">
      <c r="K923" s="16"/>
    </row>
    <row r="924" spans="11:11" x14ac:dyDescent="0.25">
      <c r="K924" s="16"/>
    </row>
    <row r="925" spans="11:11" x14ac:dyDescent="0.25">
      <c r="K925" s="16"/>
    </row>
    <row r="926" spans="11:11" x14ac:dyDescent="0.25">
      <c r="K926" s="16"/>
    </row>
    <row r="927" spans="11:11" x14ac:dyDescent="0.25">
      <c r="K927" s="16"/>
    </row>
    <row r="928" spans="11:11" x14ac:dyDescent="0.25">
      <c r="K928" s="16"/>
    </row>
    <row r="929" spans="11:11" x14ac:dyDescent="0.25">
      <c r="K929" s="16"/>
    </row>
    <row r="930" spans="11:11" x14ac:dyDescent="0.25">
      <c r="K930" s="16"/>
    </row>
    <row r="931" spans="11:11" x14ac:dyDescent="0.25">
      <c r="K931" s="16"/>
    </row>
    <row r="932" spans="11:11" x14ac:dyDescent="0.25">
      <c r="K932" s="16"/>
    </row>
    <row r="933" spans="11:11" x14ac:dyDescent="0.25">
      <c r="K933" s="16"/>
    </row>
    <row r="934" spans="11:11" x14ac:dyDescent="0.25">
      <c r="K934" s="16"/>
    </row>
    <row r="935" spans="11:11" x14ac:dyDescent="0.25">
      <c r="K935" s="16"/>
    </row>
    <row r="936" spans="11:11" x14ac:dyDescent="0.25">
      <c r="K936" s="16"/>
    </row>
    <row r="937" spans="11:11" x14ac:dyDescent="0.25">
      <c r="K937" s="16"/>
    </row>
    <row r="938" spans="11:11" x14ac:dyDescent="0.25">
      <c r="K938" s="16"/>
    </row>
    <row r="939" spans="11:11" x14ac:dyDescent="0.25">
      <c r="K939" s="16"/>
    </row>
    <row r="940" spans="11:11" x14ac:dyDescent="0.25">
      <c r="K940" s="16"/>
    </row>
    <row r="941" spans="11:11" x14ac:dyDescent="0.25">
      <c r="K941" s="16"/>
    </row>
    <row r="942" spans="11:11" x14ac:dyDescent="0.25">
      <c r="K942" s="16"/>
    </row>
    <row r="943" spans="11:11" x14ac:dyDescent="0.25">
      <c r="K943" s="16"/>
    </row>
    <row r="944" spans="11:11" x14ac:dyDescent="0.25">
      <c r="K944" s="16"/>
    </row>
    <row r="945" spans="11:11" x14ac:dyDescent="0.25">
      <c r="K945" s="16"/>
    </row>
    <row r="946" spans="11:11" x14ac:dyDescent="0.25">
      <c r="K946" s="16"/>
    </row>
    <row r="947" spans="11:11" x14ac:dyDescent="0.25">
      <c r="K947" s="16"/>
    </row>
    <row r="948" spans="11:11" x14ac:dyDescent="0.25">
      <c r="K948" s="16"/>
    </row>
    <row r="949" spans="11:11" x14ac:dyDescent="0.25">
      <c r="K949" s="16"/>
    </row>
    <row r="950" spans="11:11" x14ac:dyDescent="0.25">
      <c r="K950" s="16"/>
    </row>
    <row r="951" spans="11:11" x14ac:dyDescent="0.25">
      <c r="K951" s="16"/>
    </row>
    <row r="952" spans="11:11" x14ac:dyDescent="0.25">
      <c r="K952" s="16"/>
    </row>
    <row r="953" spans="11:11" x14ac:dyDescent="0.25">
      <c r="K953" s="16"/>
    </row>
    <row r="954" spans="11:11" x14ac:dyDescent="0.25">
      <c r="K954" s="16"/>
    </row>
    <row r="955" spans="11:11" x14ac:dyDescent="0.25">
      <c r="K955" s="16"/>
    </row>
    <row r="956" spans="11:11" x14ac:dyDescent="0.25">
      <c r="K956" s="16"/>
    </row>
    <row r="957" spans="11:11" x14ac:dyDescent="0.25">
      <c r="K957" s="16"/>
    </row>
    <row r="958" spans="11:11" x14ac:dyDescent="0.25">
      <c r="K958" s="16"/>
    </row>
    <row r="959" spans="11:11" x14ac:dyDescent="0.25">
      <c r="K959" s="16"/>
    </row>
    <row r="960" spans="11:11" x14ac:dyDescent="0.25">
      <c r="K960" s="16"/>
    </row>
    <row r="961" spans="11:11" x14ac:dyDescent="0.25">
      <c r="K961" s="16"/>
    </row>
    <row r="962" spans="11:11" x14ac:dyDescent="0.25">
      <c r="K962" s="16"/>
    </row>
    <row r="963" spans="11:11" x14ac:dyDescent="0.25">
      <c r="K963" s="16"/>
    </row>
    <row r="964" spans="11:11" x14ac:dyDescent="0.25">
      <c r="K964" s="16"/>
    </row>
    <row r="965" spans="11:11" x14ac:dyDescent="0.25">
      <c r="K965" s="16"/>
    </row>
    <row r="966" spans="11:11" x14ac:dyDescent="0.25">
      <c r="K966" s="16"/>
    </row>
    <row r="967" spans="11:11" x14ac:dyDescent="0.25">
      <c r="K967" s="16"/>
    </row>
    <row r="968" spans="11:11" x14ac:dyDescent="0.25">
      <c r="K968" s="16"/>
    </row>
    <row r="969" spans="11:11" x14ac:dyDescent="0.25">
      <c r="K969" s="16"/>
    </row>
    <row r="970" spans="11:11" x14ac:dyDescent="0.25">
      <c r="K970" s="16"/>
    </row>
    <row r="971" spans="11:11" x14ac:dyDescent="0.25">
      <c r="K971" s="16"/>
    </row>
    <row r="972" spans="11:11" x14ac:dyDescent="0.25">
      <c r="K972" s="16"/>
    </row>
    <row r="973" spans="11:11" x14ac:dyDescent="0.25">
      <c r="K973" s="16"/>
    </row>
    <row r="974" spans="11:11" x14ac:dyDescent="0.25">
      <c r="K974" s="16"/>
    </row>
    <row r="975" spans="11:11" x14ac:dyDescent="0.25">
      <c r="K975" s="16"/>
    </row>
    <row r="976" spans="11:11" x14ac:dyDescent="0.25">
      <c r="K976" s="16"/>
    </row>
    <row r="977" spans="11:11" x14ac:dyDescent="0.25">
      <c r="K977" s="16"/>
    </row>
    <row r="978" spans="11:11" x14ac:dyDescent="0.25">
      <c r="K978" s="16"/>
    </row>
    <row r="979" spans="11:11" x14ac:dyDescent="0.25">
      <c r="K979" s="16"/>
    </row>
    <row r="980" spans="11:11" x14ac:dyDescent="0.25">
      <c r="K980" s="16"/>
    </row>
    <row r="981" spans="11:11" x14ac:dyDescent="0.25">
      <c r="K981" s="16"/>
    </row>
    <row r="982" spans="11:11" x14ac:dyDescent="0.25">
      <c r="K982" s="16"/>
    </row>
    <row r="983" spans="11:11" x14ac:dyDescent="0.25">
      <c r="K983" s="16"/>
    </row>
    <row r="984" spans="11:11" x14ac:dyDescent="0.25">
      <c r="K984" s="16"/>
    </row>
    <row r="985" spans="11:11" x14ac:dyDescent="0.25">
      <c r="K985" s="16"/>
    </row>
    <row r="986" spans="11:11" x14ac:dyDescent="0.25">
      <c r="K986" s="16"/>
    </row>
    <row r="987" spans="11:11" x14ac:dyDescent="0.25">
      <c r="K987" s="16"/>
    </row>
    <row r="988" spans="11:11" x14ac:dyDescent="0.25">
      <c r="K988" s="16"/>
    </row>
    <row r="989" spans="11:11" x14ac:dyDescent="0.25">
      <c r="K989" s="16"/>
    </row>
    <row r="990" spans="11:11" x14ac:dyDescent="0.25">
      <c r="K990" s="16"/>
    </row>
    <row r="991" spans="11:11" x14ac:dyDescent="0.25">
      <c r="K991" s="16"/>
    </row>
    <row r="992" spans="11:11" x14ac:dyDescent="0.25">
      <c r="K992" s="16"/>
    </row>
    <row r="993" spans="11:11" x14ac:dyDescent="0.25">
      <c r="K993" s="16"/>
    </row>
    <row r="994" spans="11:11" x14ac:dyDescent="0.25">
      <c r="K994" s="16"/>
    </row>
    <row r="995" spans="11:11" x14ac:dyDescent="0.25">
      <c r="K995" s="16"/>
    </row>
    <row r="996" spans="11:11" x14ac:dyDescent="0.25">
      <c r="K996" s="16"/>
    </row>
    <row r="997" spans="11:11" x14ac:dyDescent="0.25">
      <c r="K997" s="16"/>
    </row>
    <row r="998" spans="11:11" x14ac:dyDescent="0.25">
      <c r="K998" s="16"/>
    </row>
    <row r="999" spans="11:11" x14ac:dyDescent="0.25">
      <c r="K999" s="16"/>
    </row>
    <row r="1000" spans="11:11" x14ac:dyDescent="0.25">
      <c r="K1000" s="16"/>
    </row>
  </sheetData>
  <dataValidations count="4">
    <dataValidation type="list" allowBlank="1" showErrorMessage="1" sqref="H3:H49" xr:uid="{00000000-0002-0000-0200-000000000000}">
      <formula1>$Q$3:$Q$7</formula1>
    </dataValidation>
    <dataValidation type="list" allowBlank="1" showErrorMessage="1" sqref="G2:G49" xr:uid="{00000000-0002-0000-0200-000001000000}">
      <formula1>$N$6:$N$10</formula1>
    </dataValidation>
    <dataValidation type="list" allowBlank="1" showErrorMessage="1" sqref="N3 N28 F2:F49" xr:uid="{00000000-0002-0000-0200-000002000000}">
      <formula1>$A$2:$A$26</formula1>
    </dataValidation>
    <dataValidation type="list" allowBlank="1" showErrorMessage="1" sqref="H2" xr:uid="{00000000-0002-0000-0200-000003000000}">
      <formula1>"CDB,SELIC,AÇÃO,FII,ETF NACIONAL,ETF INTERNACIONAL,CRIPTO"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45"/>
  <sheetViews>
    <sheetView workbookViewId="0"/>
  </sheetViews>
  <sheetFormatPr defaultColWidth="12.6640625" defaultRowHeight="15.75" customHeight="1" x14ac:dyDescent="0.25"/>
  <cols>
    <col min="1" max="1" width="21.21875" customWidth="1"/>
    <col min="3" max="3" width="11.77734375" customWidth="1"/>
    <col min="5" max="5" width="14.33203125" customWidth="1"/>
    <col min="8" max="8" width="14.33203125" customWidth="1"/>
    <col min="9" max="9" width="12.21875" customWidth="1"/>
    <col min="11" max="11" width="12.6640625" customWidth="1"/>
  </cols>
  <sheetData>
    <row r="1" spans="1:24" ht="39.6" x14ac:dyDescent="0.25">
      <c r="A1" s="14" t="s">
        <v>107</v>
      </c>
      <c r="C1" s="14" t="s">
        <v>108</v>
      </c>
      <c r="E1" s="14" t="s">
        <v>109</v>
      </c>
      <c r="H1" s="49" t="s">
        <v>110</v>
      </c>
      <c r="I1" s="50"/>
      <c r="K1" s="14" t="s">
        <v>111</v>
      </c>
      <c r="M1" s="48" t="s">
        <v>957</v>
      </c>
      <c r="N1" s="48" t="s">
        <v>958</v>
      </c>
      <c r="O1" s="48" t="s">
        <v>79</v>
      </c>
      <c r="P1" s="48" t="s">
        <v>109</v>
      </c>
      <c r="Q1" s="48" t="s">
        <v>959</v>
      </c>
      <c r="R1" s="48" t="s">
        <v>960</v>
      </c>
      <c r="T1" s="48" t="s">
        <v>961</v>
      </c>
      <c r="U1" s="48" t="s">
        <v>957</v>
      </c>
      <c r="V1" s="48" t="s">
        <v>958</v>
      </c>
      <c r="W1" s="48" t="s">
        <v>959</v>
      </c>
      <c r="X1" s="48" t="s">
        <v>962</v>
      </c>
    </row>
    <row r="2" spans="1:24" ht="13.2" x14ac:dyDescent="0.25">
      <c r="A2" s="17" t="s">
        <v>112</v>
      </c>
      <c r="C2" s="18" t="s">
        <v>113</v>
      </c>
      <c r="E2" s="17" t="s">
        <v>114</v>
      </c>
      <c r="H2" s="14" t="s">
        <v>79</v>
      </c>
      <c r="I2" s="14" t="s">
        <v>115</v>
      </c>
      <c r="K2" s="19">
        <v>45658</v>
      </c>
      <c r="M2" t="s">
        <v>112</v>
      </c>
      <c r="N2" t="s">
        <v>963</v>
      </c>
      <c r="O2" t="s">
        <v>126</v>
      </c>
      <c r="T2" t="s">
        <v>113</v>
      </c>
      <c r="U2" t="s">
        <v>116</v>
      </c>
      <c r="V2" t="s">
        <v>964</v>
      </c>
      <c r="W2" t="s">
        <v>113</v>
      </c>
      <c r="X2" t="s">
        <v>993</v>
      </c>
    </row>
    <row r="3" spans="1:24" ht="13.2" x14ac:dyDescent="0.25">
      <c r="A3" s="17" t="s">
        <v>116</v>
      </c>
      <c r="C3" s="20" t="s">
        <v>117</v>
      </c>
      <c r="E3" s="17" t="s">
        <v>118</v>
      </c>
      <c r="H3" s="17" t="s">
        <v>119</v>
      </c>
      <c r="I3" s="21">
        <v>0.5</v>
      </c>
      <c r="K3" s="19">
        <v>45689</v>
      </c>
      <c r="M3" t="s">
        <v>112</v>
      </c>
      <c r="N3" t="s">
        <v>963</v>
      </c>
      <c r="O3" t="s">
        <v>128</v>
      </c>
      <c r="T3" t="s">
        <v>117</v>
      </c>
      <c r="U3" t="s">
        <v>116</v>
      </c>
      <c r="V3" t="s">
        <v>964</v>
      </c>
      <c r="W3" t="s">
        <v>117</v>
      </c>
      <c r="X3" t="s">
        <v>993</v>
      </c>
    </row>
    <row r="4" spans="1:24" ht="13.2" x14ac:dyDescent="0.25">
      <c r="C4" s="22" t="s">
        <v>120</v>
      </c>
      <c r="E4" s="17" t="s">
        <v>121</v>
      </c>
      <c r="H4" s="17" t="s">
        <v>122</v>
      </c>
      <c r="I4" s="21">
        <v>0.2</v>
      </c>
      <c r="K4" s="19">
        <v>45717</v>
      </c>
      <c r="M4" t="s">
        <v>112</v>
      </c>
      <c r="N4" t="s">
        <v>963</v>
      </c>
      <c r="O4" t="s">
        <v>130</v>
      </c>
      <c r="T4" t="s">
        <v>120</v>
      </c>
      <c r="U4" t="s">
        <v>116</v>
      </c>
      <c r="V4" t="s">
        <v>987</v>
      </c>
      <c r="X4" t="s">
        <v>994</v>
      </c>
    </row>
    <row r="5" spans="1:24" ht="13.2" x14ac:dyDescent="0.25">
      <c r="C5" s="23" t="s">
        <v>123</v>
      </c>
      <c r="E5" s="17" t="s">
        <v>124</v>
      </c>
      <c r="H5" s="17" t="s">
        <v>125</v>
      </c>
      <c r="I5" s="21">
        <v>0.3</v>
      </c>
      <c r="K5" s="19">
        <v>45748</v>
      </c>
      <c r="M5" t="s">
        <v>116</v>
      </c>
      <c r="N5" t="s">
        <v>964</v>
      </c>
      <c r="O5" t="s">
        <v>144</v>
      </c>
      <c r="P5" t="s">
        <v>965</v>
      </c>
      <c r="Q5" t="s">
        <v>966</v>
      </c>
      <c r="R5" t="s">
        <v>967</v>
      </c>
      <c r="T5" t="s">
        <v>123</v>
      </c>
      <c r="U5" t="s">
        <v>116</v>
      </c>
      <c r="V5" t="s">
        <v>991</v>
      </c>
      <c r="X5" t="s">
        <v>995</v>
      </c>
    </row>
    <row r="6" spans="1:24" ht="13.2" x14ac:dyDescent="0.25">
      <c r="C6" s="24" t="s">
        <v>126</v>
      </c>
      <c r="E6" s="17" t="s">
        <v>127</v>
      </c>
      <c r="K6" s="19">
        <v>45778</v>
      </c>
      <c r="M6" t="s">
        <v>116</v>
      </c>
      <c r="N6" t="s">
        <v>964</v>
      </c>
      <c r="O6" t="s">
        <v>144</v>
      </c>
      <c r="P6" t="s">
        <v>132</v>
      </c>
      <c r="Q6" t="s">
        <v>966</v>
      </c>
      <c r="R6" t="s">
        <v>967</v>
      </c>
      <c r="T6" t="s">
        <v>126</v>
      </c>
      <c r="U6" t="s">
        <v>112</v>
      </c>
      <c r="V6" t="s">
        <v>963</v>
      </c>
      <c r="X6" t="s">
        <v>996</v>
      </c>
    </row>
    <row r="7" spans="1:24" ht="13.2" x14ac:dyDescent="0.25">
      <c r="C7" s="24" t="s">
        <v>128</v>
      </c>
      <c r="E7" s="17" t="s">
        <v>129</v>
      </c>
      <c r="K7" s="19">
        <v>45809</v>
      </c>
      <c r="M7" t="s">
        <v>116</v>
      </c>
      <c r="N7" t="s">
        <v>964</v>
      </c>
      <c r="O7" t="s">
        <v>144</v>
      </c>
      <c r="P7" t="s">
        <v>118</v>
      </c>
      <c r="Q7" t="s">
        <v>966</v>
      </c>
      <c r="R7" t="s">
        <v>967</v>
      </c>
      <c r="T7" t="s">
        <v>128</v>
      </c>
      <c r="U7" t="s">
        <v>112</v>
      </c>
      <c r="V7" t="s">
        <v>963</v>
      </c>
      <c r="X7" t="s">
        <v>996</v>
      </c>
    </row>
    <row r="8" spans="1:24" ht="13.2" x14ac:dyDescent="0.25">
      <c r="C8" s="24" t="s">
        <v>130</v>
      </c>
      <c r="E8" s="17" t="s">
        <v>131</v>
      </c>
      <c r="K8" s="19">
        <v>45839</v>
      </c>
      <c r="M8" t="s">
        <v>116</v>
      </c>
      <c r="N8" t="s">
        <v>964</v>
      </c>
      <c r="O8" t="s">
        <v>144</v>
      </c>
      <c r="P8" t="s">
        <v>138</v>
      </c>
      <c r="Q8" t="s">
        <v>966</v>
      </c>
      <c r="R8" t="s">
        <v>967</v>
      </c>
      <c r="T8" t="s">
        <v>130</v>
      </c>
      <c r="U8" t="s">
        <v>112</v>
      </c>
      <c r="V8" t="s">
        <v>963</v>
      </c>
      <c r="X8" t="s">
        <v>997</v>
      </c>
    </row>
    <row r="9" spans="1:24" ht="13.2" x14ac:dyDescent="0.25">
      <c r="E9" s="17" t="s">
        <v>132</v>
      </c>
      <c r="K9" s="19">
        <v>45870</v>
      </c>
      <c r="M9" t="s">
        <v>116</v>
      </c>
      <c r="N9" t="s">
        <v>964</v>
      </c>
      <c r="O9" t="s">
        <v>144</v>
      </c>
      <c r="P9" t="s">
        <v>968</v>
      </c>
      <c r="Q9" t="s">
        <v>966</v>
      </c>
      <c r="R9" t="s">
        <v>967</v>
      </c>
    </row>
    <row r="10" spans="1:24" ht="13.2" x14ac:dyDescent="0.25">
      <c r="E10" s="17" t="s">
        <v>133</v>
      </c>
      <c r="K10" s="19">
        <v>45901</v>
      </c>
      <c r="M10" t="s">
        <v>116</v>
      </c>
      <c r="N10" t="s">
        <v>964</v>
      </c>
      <c r="O10" t="s">
        <v>144</v>
      </c>
      <c r="P10" t="s">
        <v>147</v>
      </c>
      <c r="Q10" t="s">
        <v>966</v>
      </c>
      <c r="R10" t="s">
        <v>967</v>
      </c>
    </row>
    <row r="11" spans="1:24" ht="13.2" x14ac:dyDescent="0.25">
      <c r="E11" s="17" t="s">
        <v>134</v>
      </c>
      <c r="K11" s="19">
        <v>45931</v>
      </c>
      <c r="M11" t="s">
        <v>116</v>
      </c>
      <c r="N11" t="s">
        <v>964</v>
      </c>
      <c r="O11" t="s">
        <v>969</v>
      </c>
      <c r="P11" t="s">
        <v>143</v>
      </c>
      <c r="Q11" t="s">
        <v>966</v>
      </c>
      <c r="R11" t="s">
        <v>967</v>
      </c>
    </row>
    <row r="12" spans="1:24" ht="13.2" x14ac:dyDescent="0.25">
      <c r="E12" s="17" t="s">
        <v>128</v>
      </c>
      <c r="K12" s="19">
        <v>45962</v>
      </c>
      <c r="M12" t="s">
        <v>116</v>
      </c>
      <c r="N12" t="s">
        <v>964</v>
      </c>
      <c r="O12" t="s">
        <v>969</v>
      </c>
      <c r="P12" t="s">
        <v>150</v>
      </c>
      <c r="Q12" t="s">
        <v>966</v>
      </c>
      <c r="R12" t="s">
        <v>967</v>
      </c>
    </row>
    <row r="13" spans="1:24" ht="13.2" x14ac:dyDescent="0.25">
      <c r="E13" s="17" t="s">
        <v>135</v>
      </c>
      <c r="K13" s="19">
        <v>45992</v>
      </c>
      <c r="M13" t="s">
        <v>116</v>
      </c>
      <c r="N13" t="s">
        <v>964</v>
      </c>
      <c r="O13" t="s">
        <v>969</v>
      </c>
      <c r="P13" t="s">
        <v>970</v>
      </c>
      <c r="Q13" t="s">
        <v>966</v>
      </c>
      <c r="R13" t="s">
        <v>967</v>
      </c>
    </row>
    <row r="14" spans="1:24" ht="13.2" x14ac:dyDescent="0.25">
      <c r="E14" s="17" t="s">
        <v>136</v>
      </c>
      <c r="K14" s="19">
        <v>46023</v>
      </c>
      <c r="M14" t="s">
        <v>116</v>
      </c>
      <c r="N14" t="s">
        <v>964</v>
      </c>
      <c r="O14" t="s">
        <v>969</v>
      </c>
      <c r="P14" t="s">
        <v>971</v>
      </c>
      <c r="Q14" t="s">
        <v>966</v>
      </c>
      <c r="R14" t="s">
        <v>967</v>
      </c>
    </row>
    <row r="15" spans="1:24" ht="13.2" x14ac:dyDescent="0.25">
      <c r="E15" s="17" t="s">
        <v>137</v>
      </c>
      <c r="K15" s="19">
        <v>46054</v>
      </c>
      <c r="M15" t="s">
        <v>116</v>
      </c>
      <c r="N15" t="s">
        <v>964</v>
      </c>
      <c r="O15" t="s">
        <v>969</v>
      </c>
      <c r="P15" t="s">
        <v>148</v>
      </c>
      <c r="Q15" t="s">
        <v>966</v>
      </c>
      <c r="R15" t="s">
        <v>967</v>
      </c>
    </row>
    <row r="16" spans="1:24" ht="13.2" x14ac:dyDescent="0.25">
      <c r="E16" s="17" t="s">
        <v>138</v>
      </c>
      <c r="K16" s="19">
        <v>46082</v>
      </c>
      <c r="M16" t="s">
        <v>116</v>
      </c>
      <c r="N16" t="s">
        <v>964</v>
      </c>
      <c r="O16" t="s">
        <v>969</v>
      </c>
      <c r="P16" t="s">
        <v>147</v>
      </c>
      <c r="Q16" t="s">
        <v>966</v>
      </c>
      <c r="R16" t="s">
        <v>967</v>
      </c>
    </row>
    <row r="17" spans="5:18" ht="13.2" x14ac:dyDescent="0.25">
      <c r="E17" s="17" t="s">
        <v>120</v>
      </c>
      <c r="K17" s="19">
        <v>46113</v>
      </c>
      <c r="M17" t="s">
        <v>116</v>
      </c>
      <c r="N17" t="s">
        <v>964</v>
      </c>
      <c r="O17" t="s">
        <v>972</v>
      </c>
      <c r="P17" t="s">
        <v>973</v>
      </c>
      <c r="Q17" t="s">
        <v>966</v>
      </c>
      <c r="R17" t="s">
        <v>967</v>
      </c>
    </row>
    <row r="18" spans="5:18" ht="13.2" x14ac:dyDescent="0.25">
      <c r="E18" s="17" t="s">
        <v>139</v>
      </c>
      <c r="K18" s="19">
        <v>46143</v>
      </c>
      <c r="M18" t="s">
        <v>116</v>
      </c>
      <c r="N18" t="s">
        <v>964</v>
      </c>
      <c r="O18" t="s">
        <v>972</v>
      </c>
      <c r="P18" t="s">
        <v>154</v>
      </c>
      <c r="Q18" t="s">
        <v>966</v>
      </c>
      <c r="R18" t="s">
        <v>967</v>
      </c>
    </row>
    <row r="19" spans="5:18" ht="13.2" x14ac:dyDescent="0.25">
      <c r="E19" s="17" t="s">
        <v>140</v>
      </c>
      <c r="K19" s="19">
        <v>46174</v>
      </c>
      <c r="M19" t="s">
        <v>116</v>
      </c>
      <c r="N19" t="s">
        <v>964</v>
      </c>
      <c r="O19" t="s">
        <v>972</v>
      </c>
      <c r="P19" t="s">
        <v>974</v>
      </c>
      <c r="Q19" t="s">
        <v>966</v>
      </c>
      <c r="R19" t="s">
        <v>967</v>
      </c>
    </row>
    <row r="20" spans="5:18" ht="13.2" x14ac:dyDescent="0.25">
      <c r="E20" s="17" t="s">
        <v>141</v>
      </c>
      <c r="K20" s="19">
        <v>46204</v>
      </c>
      <c r="M20" t="s">
        <v>116</v>
      </c>
      <c r="N20" t="s">
        <v>964</v>
      </c>
      <c r="O20" t="s">
        <v>972</v>
      </c>
      <c r="P20" t="s">
        <v>134</v>
      </c>
      <c r="Q20" t="s">
        <v>966</v>
      </c>
      <c r="R20" t="s">
        <v>967</v>
      </c>
    </row>
    <row r="21" spans="5:18" ht="13.2" x14ac:dyDescent="0.25">
      <c r="E21" s="17" t="s">
        <v>142</v>
      </c>
      <c r="K21" s="19">
        <v>46235</v>
      </c>
      <c r="M21" t="s">
        <v>116</v>
      </c>
      <c r="N21" t="s">
        <v>964</v>
      </c>
      <c r="O21" t="s">
        <v>972</v>
      </c>
      <c r="P21" t="s">
        <v>975</v>
      </c>
      <c r="Q21" t="s">
        <v>966</v>
      </c>
      <c r="R21" t="s">
        <v>967</v>
      </c>
    </row>
    <row r="22" spans="5:18" ht="13.2" x14ac:dyDescent="0.25">
      <c r="E22" s="17" t="s">
        <v>143</v>
      </c>
      <c r="K22" s="19">
        <v>46266</v>
      </c>
      <c r="M22" t="s">
        <v>116</v>
      </c>
      <c r="N22" t="s">
        <v>964</v>
      </c>
      <c r="O22" t="s">
        <v>972</v>
      </c>
      <c r="P22" t="s">
        <v>147</v>
      </c>
      <c r="Q22" t="s">
        <v>966</v>
      </c>
      <c r="R22" t="s">
        <v>967</v>
      </c>
    </row>
    <row r="23" spans="5:18" ht="13.2" x14ac:dyDescent="0.25">
      <c r="E23" s="17" t="s">
        <v>144</v>
      </c>
      <c r="K23" s="19">
        <v>46296</v>
      </c>
      <c r="M23" t="s">
        <v>116</v>
      </c>
      <c r="N23" t="s">
        <v>964</v>
      </c>
      <c r="O23" t="s">
        <v>976</v>
      </c>
      <c r="P23" t="s">
        <v>977</v>
      </c>
      <c r="Q23" t="s">
        <v>966</v>
      </c>
      <c r="R23" t="s">
        <v>967</v>
      </c>
    </row>
    <row r="24" spans="5:18" ht="13.2" x14ac:dyDescent="0.25">
      <c r="E24" s="17" t="s">
        <v>145</v>
      </c>
      <c r="K24" s="19">
        <v>46327</v>
      </c>
      <c r="M24" t="s">
        <v>116</v>
      </c>
      <c r="N24" t="s">
        <v>964</v>
      </c>
      <c r="O24" t="s">
        <v>976</v>
      </c>
      <c r="P24" t="s">
        <v>114</v>
      </c>
      <c r="Q24" t="s">
        <v>966</v>
      </c>
      <c r="R24" t="s">
        <v>967</v>
      </c>
    </row>
    <row r="25" spans="5:18" ht="13.2" x14ac:dyDescent="0.25">
      <c r="E25" s="17" t="s">
        <v>146</v>
      </c>
      <c r="K25" s="19">
        <v>46357</v>
      </c>
      <c r="M25" t="s">
        <v>116</v>
      </c>
      <c r="N25" t="s">
        <v>964</v>
      </c>
      <c r="O25" t="s">
        <v>976</v>
      </c>
      <c r="P25" t="s">
        <v>147</v>
      </c>
      <c r="Q25" t="s">
        <v>966</v>
      </c>
      <c r="R25" t="s">
        <v>967</v>
      </c>
    </row>
    <row r="26" spans="5:18" ht="13.2" x14ac:dyDescent="0.25">
      <c r="E26" s="17" t="s">
        <v>147</v>
      </c>
      <c r="K26" s="19">
        <v>46388</v>
      </c>
      <c r="M26" t="s">
        <v>116</v>
      </c>
      <c r="N26" t="s">
        <v>964</v>
      </c>
      <c r="O26" t="s">
        <v>978</v>
      </c>
      <c r="P26" t="s">
        <v>129</v>
      </c>
      <c r="Q26" t="s">
        <v>966</v>
      </c>
      <c r="R26" t="s">
        <v>967</v>
      </c>
    </row>
    <row r="27" spans="5:18" ht="13.2" x14ac:dyDescent="0.25">
      <c r="E27" s="17" t="s">
        <v>148</v>
      </c>
      <c r="K27" s="19">
        <v>46419</v>
      </c>
      <c r="M27" t="s">
        <v>116</v>
      </c>
      <c r="N27" t="s">
        <v>964</v>
      </c>
      <c r="O27" t="s">
        <v>978</v>
      </c>
      <c r="P27" t="s">
        <v>135</v>
      </c>
      <c r="Q27" t="s">
        <v>966</v>
      </c>
      <c r="R27" t="s">
        <v>967</v>
      </c>
    </row>
    <row r="28" spans="5:18" ht="13.2" x14ac:dyDescent="0.25">
      <c r="E28" s="17" t="s">
        <v>149</v>
      </c>
      <c r="K28" s="19">
        <v>46447</v>
      </c>
      <c r="M28" t="s">
        <v>116</v>
      </c>
      <c r="N28" t="s">
        <v>964</v>
      </c>
      <c r="O28" t="s">
        <v>978</v>
      </c>
      <c r="P28" t="s">
        <v>141</v>
      </c>
      <c r="Q28" t="s">
        <v>966</v>
      </c>
      <c r="R28" t="s">
        <v>967</v>
      </c>
    </row>
    <row r="29" spans="5:18" ht="13.2" x14ac:dyDescent="0.25">
      <c r="E29" s="17" t="s">
        <v>150</v>
      </c>
      <c r="K29" s="19">
        <v>46478</v>
      </c>
      <c r="M29" t="s">
        <v>116</v>
      </c>
      <c r="N29" t="s">
        <v>964</v>
      </c>
      <c r="O29" t="s">
        <v>978</v>
      </c>
      <c r="P29" t="s">
        <v>147</v>
      </c>
      <c r="Q29" t="s">
        <v>966</v>
      </c>
      <c r="R29" t="s">
        <v>967</v>
      </c>
    </row>
    <row r="30" spans="5:18" ht="13.2" x14ac:dyDescent="0.25">
      <c r="E30" s="17" t="s">
        <v>151</v>
      </c>
      <c r="K30" s="19">
        <v>46508</v>
      </c>
      <c r="M30" t="s">
        <v>116</v>
      </c>
      <c r="N30" t="s">
        <v>964</v>
      </c>
      <c r="O30" t="s">
        <v>979</v>
      </c>
      <c r="P30" t="s">
        <v>145</v>
      </c>
      <c r="Q30" t="s">
        <v>966</v>
      </c>
      <c r="R30" t="s">
        <v>967</v>
      </c>
    </row>
    <row r="31" spans="5:18" ht="13.2" x14ac:dyDescent="0.25">
      <c r="E31" s="17" t="s">
        <v>126</v>
      </c>
      <c r="K31" s="19">
        <v>46539</v>
      </c>
      <c r="M31" t="s">
        <v>116</v>
      </c>
      <c r="N31" t="s">
        <v>964</v>
      </c>
      <c r="O31" t="s">
        <v>979</v>
      </c>
      <c r="P31" t="s">
        <v>980</v>
      </c>
      <c r="Q31" t="s">
        <v>966</v>
      </c>
      <c r="R31" t="s">
        <v>967</v>
      </c>
    </row>
    <row r="32" spans="5:18" ht="13.2" x14ac:dyDescent="0.25">
      <c r="E32" s="17" t="s">
        <v>152</v>
      </c>
      <c r="K32" s="19">
        <v>46569</v>
      </c>
      <c r="M32" t="s">
        <v>116</v>
      </c>
      <c r="N32" t="s">
        <v>964</v>
      </c>
      <c r="O32" t="s">
        <v>979</v>
      </c>
      <c r="P32" t="s">
        <v>147</v>
      </c>
      <c r="Q32" t="s">
        <v>966</v>
      </c>
      <c r="R32" t="s">
        <v>967</v>
      </c>
    </row>
    <row r="33" spans="5:18" ht="13.2" x14ac:dyDescent="0.25">
      <c r="E33" s="17" t="s">
        <v>153</v>
      </c>
      <c r="K33" s="19">
        <v>46600</v>
      </c>
      <c r="M33" t="s">
        <v>116</v>
      </c>
      <c r="N33" t="s">
        <v>964</v>
      </c>
      <c r="O33" t="s">
        <v>981</v>
      </c>
      <c r="P33" t="s">
        <v>151</v>
      </c>
      <c r="Q33" t="s">
        <v>966</v>
      </c>
      <c r="R33" t="s">
        <v>967</v>
      </c>
    </row>
    <row r="34" spans="5:18" ht="13.2" x14ac:dyDescent="0.25">
      <c r="E34" s="17" t="s">
        <v>154</v>
      </c>
      <c r="K34" s="19">
        <v>46631</v>
      </c>
      <c r="M34" t="s">
        <v>116</v>
      </c>
      <c r="N34" t="s">
        <v>964</v>
      </c>
      <c r="O34" t="s">
        <v>981</v>
      </c>
      <c r="P34" t="s">
        <v>146</v>
      </c>
      <c r="Q34" t="s">
        <v>966</v>
      </c>
      <c r="R34" t="s">
        <v>967</v>
      </c>
    </row>
    <row r="35" spans="5:18" ht="13.2" x14ac:dyDescent="0.25">
      <c r="E35" s="6" t="s">
        <v>155</v>
      </c>
      <c r="K35" s="19">
        <v>46661</v>
      </c>
      <c r="M35" t="s">
        <v>116</v>
      </c>
      <c r="N35" t="s">
        <v>964</v>
      </c>
      <c r="O35" t="s">
        <v>981</v>
      </c>
      <c r="P35" t="s">
        <v>149</v>
      </c>
      <c r="Q35" t="s">
        <v>966</v>
      </c>
      <c r="R35" t="s">
        <v>967</v>
      </c>
    </row>
    <row r="36" spans="5:18" ht="13.2" x14ac:dyDescent="0.25">
      <c r="K36" s="19">
        <v>46692</v>
      </c>
      <c r="M36" t="s">
        <v>116</v>
      </c>
      <c r="N36" t="s">
        <v>964</v>
      </c>
      <c r="O36" t="s">
        <v>981</v>
      </c>
      <c r="P36" t="s">
        <v>147</v>
      </c>
      <c r="Q36" t="s">
        <v>966</v>
      </c>
      <c r="R36" t="s">
        <v>967</v>
      </c>
    </row>
    <row r="37" spans="5:18" ht="13.2" x14ac:dyDescent="0.25">
      <c r="K37" s="19">
        <v>46722</v>
      </c>
      <c r="M37" t="s">
        <v>116</v>
      </c>
      <c r="N37" t="s">
        <v>964</v>
      </c>
      <c r="O37" t="s">
        <v>982</v>
      </c>
      <c r="P37" t="s">
        <v>983</v>
      </c>
      <c r="Q37" t="s">
        <v>966</v>
      </c>
      <c r="R37" t="s">
        <v>967</v>
      </c>
    </row>
    <row r="38" spans="5:18" ht="15.75" customHeight="1" x14ac:dyDescent="0.25">
      <c r="M38" t="s">
        <v>116</v>
      </c>
      <c r="N38" t="s">
        <v>964</v>
      </c>
      <c r="O38" t="s">
        <v>982</v>
      </c>
      <c r="P38" t="s">
        <v>984</v>
      </c>
      <c r="Q38" t="s">
        <v>966</v>
      </c>
      <c r="R38" t="s">
        <v>967</v>
      </c>
    </row>
    <row r="39" spans="5:18" ht="15.75" customHeight="1" x14ac:dyDescent="0.25">
      <c r="M39" t="s">
        <v>116</v>
      </c>
      <c r="N39" t="s">
        <v>964</v>
      </c>
      <c r="O39" t="s">
        <v>982</v>
      </c>
      <c r="P39" t="s">
        <v>147</v>
      </c>
      <c r="Q39" t="s">
        <v>966</v>
      </c>
      <c r="R39" t="s">
        <v>967</v>
      </c>
    </row>
    <row r="40" spans="5:18" ht="15.75" customHeight="1" x14ac:dyDescent="0.25">
      <c r="M40" t="s">
        <v>116</v>
      </c>
      <c r="N40" t="s">
        <v>964</v>
      </c>
      <c r="O40" t="s">
        <v>985</v>
      </c>
      <c r="P40" t="s">
        <v>986</v>
      </c>
      <c r="Q40" t="s">
        <v>966</v>
      </c>
      <c r="R40" t="s">
        <v>967</v>
      </c>
    </row>
    <row r="41" spans="5:18" ht="15.75" customHeight="1" x14ac:dyDescent="0.25">
      <c r="M41" t="s">
        <v>116</v>
      </c>
      <c r="N41" t="s">
        <v>987</v>
      </c>
      <c r="O41" t="s">
        <v>120</v>
      </c>
      <c r="P41" t="s">
        <v>988</v>
      </c>
    </row>
    <row r="42" spans="5:18" ht="15.75" customHeight="1" x14ac:dyDescent="0.25">
      <c r="M42" t="s">
        <v>116</v>
      </c>
      <c r="N42" t="s">
        <v>987</v>
      </c>
      <c r="O42" t="s">
        <v>120</v>
      </c>
      <c r="P42" t="s">
        <v>989</v>
      </c>
    </row>
    <row r="43" spans="5:18" ht="15.75" customHeight="1" x14ac:dyDescent="0.25">
      <c r="M43" t="s">
        <v>116</v>
      </c>
      <c r="N43" t="s">
        <v>987</v>
      </c>
      <c r="O43" t="s">
        <v>120</v>
      </c>
      <c r="P43" t="s">
        <v>990</v>
      </c>
    </row>
    <row r="44" spans="5:18" ht="15.75" customHeight="1" x14ac:dyDescent="0.25">
      <c r="M44" t="s">
        <v>116</v>
      </c>
      <c r="N44" t="s">
        <v>987</v>
      </c>
      <c r="O44" t="s">
        <v>120</v>
      </c>
      <c r="P44" t="s">
        <v>147</v>
      </c>
    </row>
    <row r="45" spans="5:18" ht="15.75" customHeight="1" x14ac:dyDescent="0.25">
      <c r="M45" t="s">
        <v>116</v>
      </c>
      <c r="N45" t="s">
        <v>991</v>
      </c>
      <c r="O45" t="s">
        <v>123</v>
      </c>
      <c r="P45" t="s">
        <v>992</v>
      </c>
    </row>
  </sheetData>
  <mergeCells count="1">
    <mergeCell ref="H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9.33203125" customWidth="1"/>
    <col min="6" max="6" width="10.109375" customWidth="1"/>
    <col min="7" max="7" width="16.109375" hidden="1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46023</v>
      </c>
      <c r="B2" s="17" t="s">
        <v>116</v>
      </c>
      <c r="C2" s="17"/>
      <c r="D2" s="17" t="s">
        <v>120</v>
      </c>
      <c r="E2" s="17"/>
      <c r="F2" s="25">
        <v>100</v>
      </c>
      <c r="G2" s="25">
        <f t="shared" ref="G2:G50" si="0">IF(B2="Saída", -ABS(F2), ABS(F2))</f>
        <v>-100</v>
      </c>
      <c r="H2" s="17"/>
      <c r="I2" s="17" t="s">
        <v>161</v>
      </c>
      <c r="J2" s="26" t="s">
        <v>162</v>
      </c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>
        <v>46023</v>
      </c>
      <c r="B3" s="17" t="s">
        <v>116</v>
      </c>
      <c r="C3" s="17"/>
      <c r="D3" s="17" t="s">
        <v>123</v>
      </c>
      <c r="E3" s="17"/>
      <c r="F3" s="25">
        <v>100</v>
      </c>
      <c r="G3" s="25">
        <f t="shared" si="0"/>
        <v>-100</v>
      </c>
      <c r="H3" s="17"/>
      <c r="I3" s="17" t="s">
        <v>163</v>
      </c>
      <c r="J3" s="27" t="s">
        <v>164</v>
      </c>
      <c r="K3" s="25">
        <f>SUMIF(B:B,"Saída",G:G)</f>
        <v>-287.24</v>
      </c>
      <c r="AL3" t="s">
        <v>1006</v>
      </c>
      <c r="AM3">
        <f>SUMIFS($F:$F,$X:$X,"Saída",$Y:$Y,"Despesa")+SUMIFS($F:$F,$B:$B,"Saída",$X:$X,"",$D:$D,"&lt;&gt;Investimentos",$D:$D,"&lt;&gt;Sonhos")</f>
        <v>87.24</v>
      </c>
    </row>
    <row r="4" spans="1:39" x14ac:dyDescent="0.25">
      <c r="A4" s="11">
        <v>46411.474403645829</v>
      </c>
      <c r="B4" s="17" t="s">
        <v>165</v>
      </c>
      <c r="C4" s="17" t="s">
        <v>166</v>
      </c>
      <c r="D4" s="17" t="s">
        <v>113</v>
      </c>
      <c r="E4" s="17" t="s">
        <v>124</v>
      </c>
      <c r="F4" s="25">
        <v>43.62</v>
      </c>
      <c r="G4" s="25">
        <f t="shared" si="0"/>
        <v>-43.62</v>
      </c>
      <c r="H4" s="17" t="s">
        <v>167</v>
      </c>
      <c r="I4" s="17" t="s">
        <v>168</v>
      </c>
      <c r="J4" s="24"/>
      <c r="K4" s="25">
        <f>K2 + K3</f>
        <v>-287.24</v>
      </c>
      <c r="AL4" t="s">
        <v>1007</v>
      </c>
      <c r="AM4">
        <f>SUMIFS($F:$F,$X:$X,"Saída",$Y:$Y,"Despesa",$AB:$AB,"Essencial")+SUMIFS($F:$F,$B:$B,"Saída",$X:$X,"",$D:$D,"Essencial")</f>
        <v>87.24</v>
      </c>
    </row>
    <row r="5" spans="1:39" x14ac:dyDescent="0.25">
      <c r="A5" s="11">
        <v>46411.474403645829</v>
      </c>
      <c r="B5" s="17" t="s">
        <v>165</v>
      </c>
      <c r="C5" s="17" t="s">
        <v>166</v>
      </c>
      <c r="D5" s="17" t="s">
        <v>113</v>
      </c>
      <c r="E5" s="17" t="s">
        <v>124</v>
      </c>
      <c r="F5" s="25">
        <v>43.62</v>
      </c>
      <c r="G5" s="25">
        <f t="shared" si="0"/>
        <v>-43.62</v>
      </c>
      <c r="H5" s="17" t="s">
        <v>167</v>
      </c>
      <c r="I5" s="17" t="s">
        <v>169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>
        <f t="shared" si="0"/>
        <v>0</v>
      </c>
      <c r="H6" s="17"/>
      <c r="I6" s="17" t="s">
        <v>170</v>
      </c>
      <c r="AL6" t="s">
        <v>120</v>
      </c>
      <c r="AM6">
        <f>SUMIFS($F:$F,$X:$X,"Saída",$Y:$Y,"Investimento")+SUMIFS($F:$F,$B:$B,"Saída",$X:$X,"",$D:$D,"Investimentos")</f>
        <v>100</v>
      </c>
    </row>
    <row r="7" spans="1:39" x14ac:dyDescent="0.25">
      <c r="A7" s="11"/>
      <c r="B7" s="17"/>
      <c r="C7" s="17"/>
      <c r="D7" s="17"/>
      <c r="E7" s="17"/>
      <c r="F7" s="25"/>
      <c r="G7" s="25">
        <f t="shared" si="0"/>
        <v>0</v>
      </c>
      <c r="H7" s="17"/>
      <c r="I7" s="17" t="s">
        <v>171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100</v>
      </c>
    </row>
    <row r="8" spans="1:39" x14ac:dyDescent="0.25">
      <c r="A8" s="11"/>
      <c r="B8" s="17"/>
      <c r="C8" s="17"/>
      <c r="D8" s="17"/>
      <c r="E8" s="17"/>
      <c r="F8" s="25"/>
      <c r="G8" s="25">
        <f t="shared" si="0"/>
        <v>0</v>
      </c>
      <c r="H8" s="17"/>
      <c r="I8" s="17" t="s">
        <v>177</v>
      </c>
      <c r="J8" s="18" t="s">
        <v>113</v>
      </c>
      <c r="K8" s="25">
        <f t="shared" ref="K8:K11" si="1">SUMIF($D:$D, J8, $F:$F)</f>
        <v>87.24</v>
      </c>
      <c r="M8" s="18" t="s">
        <v>113</v>
      </c>
      <c r="N8" s="25">
        <f>K2*O8</f>
        <v>0</v>
      </c>
      <c r="O8" s="28">
        <v>0.45</v>
      </c>
      <c r="P8" s="25">
        <f t="shared" ref="P8:P11" si="2">ABS(SUMIF(D:D, M8, F:F))</f>
        <v>87.24</v>
      </c>
      <c r="Q8" s="25">
        <f t="shared" ref="Q8:Q11" si="3">P8 - N8</f>
        <v>87.24</v>
      </c>
      <c r="AL8" t="s">
        <v>1010</v>
      </c>
      <c r="AM8">
        <f>SUMIFS($F:$F,$X:$X,"Entrada")-SUMIFS($F:$F,$X:$X,"Saída")+SUMIFS($F:$F,$B:$B,"Entrada",$X:$X,"")-SUMIFS($F:$F,$B:$B,"Saída",$X:$X,"")</f>
        <v>-287.24</v>
      </c>
    </row>
    <row r="9" spans="1:39" x14ac:dyDescent="0.25">
      <c r="A9" s="11"/>
      <c r="B9" s="17"/>
      <c r="C9" s="17"/>
      <c r="D9" s="17"/>
      <c r="E9" s="17"/>
      <c r="F9" s="25"/>
      <c r="G9" s="25">
        <f t="shared" si="0"/>
        <v>0</v>
      </c>
      <c r="H9" s="17"/>
      <c r="I9" s="17" t="s">
        <v>178</v>
      </c>
      <c r="J9" s="20" t="s">
        <v>117</v>
      </c>
      <c r="K9" s="25">
        <f t="shared" si="1"/>
        <v>0</v>
      </c>
      <c r="M9" s="20" t="s">
        <v>117</v>
      </c>
      <c r="N9" s="25">
        <f>K2*O9</f>
        <v>0</v>
      </c>
      <c r="O9" s="28">
        <v>0.2</v>
      </c>
      <c r="P9" s="25">
        <f t="shared" si="2"/>
        <v>0</v>
      </c>
      <c r="Q9" s="25">
        <f t="shared" si="3"/>
        <v>0</v>
      </c>
    </row>
    <row r="10" spans="1:39" x14ac:dyDescent="0.25">
      <c r="A10" s="11"/>
      <c r="B10" s="17"/>
      <c r="C10" s="17"/>
      <c r="D10" s="17"/>
      <c r="E10" s="17"/>
      <c r="F10" s="25"/>
      <c r="G10" s="25">
        <f t="shared" si="0"/>
        <v>0</v>
      </c>
      <c r="H10" s="17"/>
      <c r="I10" s="17" t="s">
        <v>179</v>
      </c>
      <c r="J10" s="22" t="s">
        <v>120</v>
      </c>
      <c r="K10" s="25">
        <f t="shared" si="1"/>
        <v>100</v>
      </c>
      <c r="M10" s="22" t="s">
        <v>120</v>
      </c>
      <c r="N10" s="25">
        <f>K2*O10</f>
        <v>0</v>
      </c>
      <c r="O10" s="28">
        <v>0.3</v>
      </c>
      <c r="P10" s="25">
        <f t="shared" si="2"/>
        <v>100</v>
      </c>
      <c r="Q10" s="25">
        <f t="shared" si="3"/>
        <v>100</v>
      </c>
    </row>
    <row r="11" spans="1:39" x14ac:dyDescent="0.25">
      <c r="A11" s="11"/>
      <c r="B11" s="17"/>
      <c r="C11" s="17"/>
      <c r="D11" s="17"/>
      <c r="E11" s="17"/>
      <c r="F11" s="25"/>
      <c r="G11" s="25">
        <f t="shared" si="0"/>
        <v>0</v>
      </c>
      <c r="H11" s="17"/>
      <c r="I11" s="17" t="s">
        <v>180</v>
      </c>
      <c r="J11" s="29" t="s">
        <v>123</v>
      </c>
      <c r="K11" s="25">
        <f t="shared" si="1"/>
        <v>100</v>
      </c>
      <c r="M11" s="29" t="s">
        <v>123</v>
      </c>
      <c r="N11" s="25">
        <f>K2*O11</f>
        <v>0</v>
      </c>
      <c r="O11" s="28">
        <v>0.05</v>
      </c>
      <c r="P11" s="25">
        <f t="shared" si="2"/>
        <v>100</v>
      </c>
      <c r="Q11" s="25">
        <f t="shared" si="3"/>
        <v>100</v>
      </c>
    </row>
    <row r="12" spans="1:39" x14ac:dyDescent="0.25">
      <c r="A12" s="11"/>
      <c r="B12" s="17"/>
      <c r="C12" s="17"/>
      <c r="D12" s="17"/>
      <c r="E12" s="17"/>
      <c r="F12" s="25"/>
      <c r="G12" s="25">
        <f t="shared" si="0"/>
        <v>0</v>
      </c>
      <c r="H12" s="17"/>
      <c r="I12" s="17" t="s">
        <v>181</v>
      </c>
    </row>
    <row r="13" spans="1:39" x14ac:dyDescent="0.25">
      <c r="A13" s="11"/>
      <c r="B13" s="17"/>
      <c r="C13" s="17"/>
      <c r="D13" s="17"/>
      <c r="E13" s="17"/>
      <c r="F13" s="25"/>
      <c r="G13" s="25">
        <f t="shared" si="0"/>
        <v>0</v>
      </c>
      <c r="H13" s="17"/>
      <c r="I13" s="17" t="s">
        <v>182</v>
      </c>
    </row>
    <row r="14" spans="1:39" x14ac:dyDescent="0.25">
      <c r="A14" s="11"/>
      <c r="B14" s="17"/>
      <c r="C14" s="17"/>
      <c r="D14" s="17"/>
      <c r="E14" s="17"/>
      <c r="F14" s="25"/>
      <c r="G14" s="25">
        <f t="shared" si="0"/>
        <v>0</v>
      </c>
      <c r="H14" s="17"/>
      <c r="I14" s="17" t="s">
        <v>183</v>
      </c>
    </row>
    <row r="15" spans="1:39" x14ac:dyDescent="0.25">
      <c r="A15" s="11"/>
      <c r="B15" s="17"/>
      <c r="C15" s="17"/>
      <c r="D15" s="17"/>
      <c r="E15" s="17"/>
      <c r="F15" s="25"/>
      <c r="G15" s="25">
        <f t="shared" si="0"/>
        <v>0</v>
      </c>
      <c r="H15" s="17"/>
      <c r="I15" s="17" t="s">
        <v>184</v>
      </c>
    </row>
    <row r="16" spans="1:39" x14ac:dyDescent="0.25">
      <c r="A16" s="11"/>
      <c r="B16" s="17"/>
      <c r="C16" s="17"/>
      <c r="D16" s="17"/>
      <c r="E16" s="17"/>
      <c r="F16" s="25"/>
      <c r="G16" s="25">
        <f t="shared" si="0"/>
        <v>0</v>
      </c>
      <c r="H16" s="17"/>
      <c r="I16" s="17" t="s">
        <v>185</v>
      </c>
    </row>
    <row r="17" spans="1:9" x14ac:dyDescent="0.25">
      <c r="A17" s="11"/>
      <c r="B17" s="17"/>
      <c r="C17" s="17"/>
      <c r="D17" s="17"/>
      <c r="E17" s="17"/>
      <c r="F17" s="25"/>
      <c r="G17" s="25">
        <f t="shared" si="0"/>
        <v>0</v>
      </c>
      <c r="H17" s="17"/>
      <c r="I17" s="17" t="s">
        <v>186</v>
      </c>
    </row>
    <row r="18" spans="1:9" x14ac:dyDescent="0.25">
      <c r="A18" s="11"/>
      <c r="B18" s="17"/>
      <c r="C18" s="17"/>
      <c r="D18" s="17"/>
      <c r="E18" s="17"/>
      <c r="F18" s="25"/>
      <c r="G18" s="25">
        <f t="shared" si="0"/>
        <v>0</v>
      </c>
      <c r="H18" s="17"/>
      <c r="I18" s="17" t="s">
        <v>187</v>
      </c>
    </row>
    <row r="19" spans="1:9" x14ac:dyDescent="0.25">
      <c r="A19" s="11"/>
      <c r="B19" s="17"/>
      <c r="C19" s="17"/>
      <c r="D19" s="17"/>
      <c r="E19" s="17"/>
      <c r="F19" s="25"/>
      <c r="G19" s="25">
        <f t="shared" si="0"/>
        <v>0</v>
      </c>
      <c r="H19" s="17"/>
      <c r="I19" s="17" t="s">
        <v>188</v>
      </c>
    </row>
    <row r="20" spans="1:9" x14ac:dyDescent="0.25">
      <c r="A20" s="11"/>
      <c r="B20" s="17"/>
      <c r="C20" s="17"/>
      <c r="D20" s="17"/>
      <c r="E20" s="17"/>
      <c r="F20" s="25"/>
      <c r="G20" s="25">
        <f t="shared" si="0"/>
        <v>0</v>
      </c>
      <c r="H20" s="17"/>
      <c r="I20" s="17" t="s">
        <v>189</v>
      </c>
    </row>
    <row r="21" spans="1:9" x14ac:dyDescent="0.25">
      <c r="A21" s="11"/>
      <c r="B21" s="17"/>
      <c r="C21" s="17"/>
      <c r="D21" s="17"/>
      <c r="E21" s="17"/>
      <c r="F21" s="25"/>
      <c r="G21" s="25">
        <f t="shared" si="0"/>
        <v>0</v>
      </c>
      <c r="H21" s="17"/>
      <c r="I21" s="17" t="s">
        <v>190</v>
      </c>
    </row>
    <row r="22" spans="1:9" x14ac:dyDescent="0.25">
      <c r="A22" s="11"/>
      <c r="B22" s="17"/>
      <c r="C22" s="17"/>
      <c r="D22" s="17"/>
      <c r="E22" s="17"/>
      <c r="F22" s="25"/>
      <c r="G22" s="25">
        <f t="shared" si="0"/>
        <v>0</v>
      </c>
      <c r="H22" s="17"/>
      <c r="I22" s="17" t="s">
        <v>191</v>
      </c>
    </row>
    <row r="23" spans="1:9" x14ac:dyDescent="0.25">
      <c r="A23" s="11"/>
      <c r="B23" s="17"/>
      <c r="C23" s="17"/>
      <c r="D23" s="17"/>
      <c r="E23" s="17"/>
      <c r="F23" s="25"/>
      <c r="G23" s="25">
        <f t="shared" si="0"/>
        <v>0</v>
      </c>
      <c r="H23" s="17"/>
      <c r="I23" s="17" t="s">
        <v>192</v>
      </c>
    </row>
    <row r="24" spans="1:9" x14ac:dyDescent="0.25">
      <c r="A24" s="11"/>
      <c r="B24" s="17"/>
      <c r="C24" s="17"/>
      <c r="D24" s="17"/>
      <c r="E24" s="17"/>
      <c r="F24" s="25"/>
      <c r="G24" s="25">
        <f t="shared" si="0"/>
        <v>0</v>
      </c>
      <c r="H24" s="17"/>
      <c r="I24" s="17" t="s">
        <v>193</v>
      </c>
    </row>
    <row r="25" spans="1:9" x14ac:dyDescent="0.25">
      <c r="A25" s="11"/>
      <c r="B25" s="17"/>
      <c r="C25" s="17"/>
      <c r="D25" s="17"/>
      <c r="E25" s="17"/>
      <c r="F25" s="25"/>
      <c r="G25" s="25">
        <f t="shared" si="0"/>
        <v>0</v>
      </c>
      <c r="H25" s="17"/>
      <c r="I25" s="17" t="s">
        <v>194</v>
      </c>
    </row>
    <row r="26" spans="1:9" x14ac:dyDescent="0.25">
      <c r="A26" s="11"/>
      <c r="B26" s="17"/>
      <c r="C26" s="17"/>
      <c r="D26" s="17"/>
      <c r="E26" s="17"/>
      <c r="F26" s="25"/>
      <c r="G26" s="25">
        <f t="shared" si="0"/>
        <v>0</v>
      </c>
      <c r="H26" s="17"/>
      <c r="I26" s="17" t="s">
        <v>195</v>
      </c>
    </row>
    <row r="27" spans="1:9" x14ac:dyDescent="0.25">
      <c r="A27" s="11"/>
      <c r="B27" s="17"/>
      <c r="C27" s="17"/>
      <c r="D27" s="17"/>
      <c r="E27" s="17"/>
      <c r="F27" s="25"/>
      <c r="G27" s="25">
        <f t="shared" si="0"/>
        <v>0</v>
      </c>
      <c r="H27" s="17"/>
      <c r="I27" s="17" t="s">
        <v>196</v>
      </c>
    </row>
    <row r="28" spans="1:9" x14ac:dyDescent="0.25">
      <c r="A28" s="11"/>
      <c r="B28" s="17"/>
      <c r="C28" s="17"/>
      <c r="D28" s="17"/>
      <c r="E28" s="17"/>
      <c r="F28" s="25"/>
      <c r="G28" s="25">
        <f t="shared" si="0"/>
        <v>0</v>
      </c>
      <c r="H28" s="17"/>
      <c r="I28" s="17" t="s">
        <v>197</v>
      </c>
    </row>
    <row r="29" spans="1:9" x14ac:dyDescent="0.25">
      <c r="A29" s="11"/>
      <c r="B29" s="17"/>
      <c r="C29" s="17"/>
      <c r="D29" s="17"/>
      <c r="E29" s="17"/>
      <c r="F29" s="25"/>
      <c r="G29" s="25">
        <f t="shared" si="0"/>
        <v>0</v>
      </c>
      <c r="H29" s="17"/>
      <c r="I29" s="17" t="s">
        <v>198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si="0"/>
        <v>0</v>
      </c>
      <c r="H30" s="17"/>
      <c r="I30" s="17" t="s">
        <v>199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0"/>
        <v>0</v>
      </c>
      <c r="H31" s="17"/>
      <c r="I31" s="17" t="s">
        <v>200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0"/>
        <v>0</v>
      </c>
      <c r="H32" s="17"/>
      <c r="I32" s="17" t="s">
        <v>201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0"/>
        <v>0</v>
      </c>
      <c r="H33" s="17"/>
      <c r="I33" s="17" t="s">
        <v>202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0"/>
        <v>0</v>
      </c>
      <c r="H34" s="17"/>
      <c r="I34" s="17" t="s">
        <v>203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0"/>
        <v>0</v>
      </c>
      <c r="H35" s="17"/>
      <c r="I35" s="17" t="s">
        <v>204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0"/>
        <v>0</v>
      </c>
      <c r="H36" s="17"/>
      <c r="I36" s="17" t="s">
        <v>205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0"/>
        <v>0</v>
      </c>
      <c r="H37" s="17"/>
      <c r="I37" s="17" t="s">
        <v>206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0"/>
        <v>0</v>
      </c>
      <c r="H38" s="17"/>
      <c r="I38" s="17" t="s">
        <v>207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0"/>
        <v>0</v>
      </c>
      <c r="H39" s="17"/>
      <c r="I39" s="17" t="s">
        <v>208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0"/>
        <v>0</v>
      </c>
      <c r="H40" s="17"/>
      <c r="I40" s="17" t="s">
        <v>209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0"/>
        <v>0</v>
      </c>
      <c r="H41" s="17"/>
      <c r="I41" s="17" t="s">
        <v>210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0"/>
        <v>0</v>
      </c>
      <c r="H42" s="17"/>
      <c r="I42" s="17" t="s">
        <v>211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0"/>
        <v>0</v>
      </c>
      <c r="H43" s="17"/>
      <c r="I43" s="17" t="s">
        <v>212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0"/>
        <v>0</v>
      </c>
      <c r="H44" s="17"/>
      <c r="I44" s="17" t="s">
        <v>213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0"/>
        <v>0</v>
      </c>
      <c r="H45" s="17"/>
      <c r="I45" s="17" t="s">
        <v>214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0"/>
        <v>0</v>
      </c>
      <c r="H46" s="17"/>
      <c r="I46" s="17" t="s">
        <v>215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0"/>
        <v>0</v>
      </c>
      <c r="H47" s="17"/>
      <c r="I47" s="17" t="s">
        <v>216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0"/>
        <v>0</v>
      </c>
      <c r="H48" s="17"/>
      <c r="I48" s="17" t="s">
        <v>217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0"/>
        <v>0</v>
      </c>
      <c r="H49" s="17"/>
      <c r="I49" s="17" t="s">
        <v>218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0"/>
        <v>0</v>
      </c>
      <c r="H50" s="17"/>
      <c r="I50" s="17" t="s">
        <v>219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50">
    <cfRule type="expression" dxfId="26" priority="1">
      <formula>G2&lt;0</formula>
    </cfRule>
    <cfRule type="expression" dxfId="25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CATEGORIASCONFIGS!$C$2:$C$6</xm:f>
          </x14:formula1>
          <xm:sqref>D2:D50</xm:sqref>
        </x14:dataValidation>
        <x14:dataValidation type="list" allowBlank="1" showErrorMessage="1" xr:uid="{00000000-0002-0000-0400-000001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400-000002000000}">
          <x14:formula1>
            <xm:f>CATEGORIASCONFIGS!$E$2:$E$29</xm:f>
          </x14:formula1>
          <xm:sqref>E2:E50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7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220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46442.474403645829</v>
      </c>
      <c r="B2" s="17" t="s">
        <v>165</v>
      </c>
      <c r="C2" s="17" t="s">
        <v>166</v>
      </c>
      <c r="D2" s="17" t="s">
        <v>113</v>
      </c>
      <c r="E2" s="17" t="s">
        <v>124</v>
      </c>
      <c r="F2" s="25">
        <v>43.62</v>
      </c>
      <c r="G2" s="25">
        <f>IF(B2="Saída",-ABS(F2),ABS(F2))</f>
        <v>-43.62</v>
      </c>
      <c r="H2" s="17" t="s">
        <v>167</v>
      </c>
      <c r="I2" s="17" t="s">
        <v>221</v>
      </c>
      <c r="J2" s="17"/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>
        <v>46442.474403645829</v>
      </c>
      <c r="B3" s="17" t="s">
        <v>165</v>
      </c>
      <c r="C3" s="17" t="s">
        <v>166</v>
      </c>
      <c r="D3" s="17" t="s">
        <v>113</v>
      </c>
      <c r="E3" s="17" t="s">
        <v>124</v>
      </c>
      <c r="F3" s="25">
        <v>43.62</v>
      </c>
      <c r="G3" s="25">
        <f>IF(B3="Saída",-ABS(F3),ABS(F3))</f>
        <v>-43.62</v>
      </c>
      <c r="H3" s="17" t="s">
        <v>167</v>
      </c>
      <c r="I3" s="17" t="s">
        <v>222</v>
      </c>
      <c r="J3" s="17"/>
      <c r="K3" s="25">
        <f>SUMIF(B:B,"Saída",G:G)</f>
        <v>-87.24</v>
      </c>
      <c r="AL3" t="s">
        <v>1006</v>
      </c>
      <c r="AM3">
        <f>SUMIFS($F:$F,$X:$X,"Saída",$Y:$Y,"Despesa")+SUMIFS($F:$F,$B:$B,"Saída",$X:$X,"",$D:$D,"&lt;&gt;Investimentos",$D:$D,"&lt;&gt;Sonhos")</f>
        <v>87.24</v>
      </c>
    </row>
    <row r="4" spans="1:39" x14ac:dyDescent="0.25">
      <c r="A4" s="11"/>
      <c r="B4" s="17"/>
      <c r="C4" s="17"/>
      <c r="D4" s="17"/>
      <c r="E4" s="17"/>
      <c r="F4" s="25"/>
      <c r="G4" s="25"/>
      <c r="H4" s="17"/>
      <c r="I4" s="17" t="s">
        <v>223</v>
      </c>
      <c r="J4" s="17" t="s">
        <v>224</v>
      </c>
      <c r="K4" s="25">
        <f>K2 + K3</f>
        <v>-87.24</v>
      </c>
      <c r="AL4" t="s">
        <v>1007</v>
      </c>
      <c r="AM4">
        <f>SUMIFS($F:$F,$X:$X,"Saída",$Y:$Y,"Despesa",$AB:$AB,"Essencial")+SUMIFS($F:$F,$B:$B,"Saída",$X:$X,"",$D:$D,"Essencial")</f>
        <v>87.24</v>
      </c>
    </row>
    <row r="5" spans="1:39" x14ac:dyDescent="0.25">
      <c r="A5" s="11"/>
      <c r="B5" s="17"/>
      <c r="C5" s="17"/>
      <c r="D5" s="17"/>
      <c r="E5" s="17"/>
      <c r="F5" s="25"/>
      <c r="G5" s="25"/>
      <c r="H5" s="17"/>
      <c r="I5" s="17" t="s">
        <v>225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/>
      <c r="H6" s="17"/>
      <c r="I6" s="17" t="s">
        <v>226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/>
      <c r="H7" s="17"/>
      <c r="I7" s="17" t="s">
        <v>227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/>
      <c r="H8" s="17"/>
      <c r="I8" s="17" t="s">
        <v>228</v>
      </c>
      <c r="J8" s="17" t="s">
        <v>113</v>
      </c>
      <c r="K8" s="25">
        <f t="shared" ref="K8:K11" si="0">SUMIF($D:$D, J8, $F:$F)</f>
        <v>87.24</v>
      </c>
      <c r="M8" s="17" t="s">
        <v>113</v>
      </c>
      <c r="N8" s="25">
        <f>K2*O8</f>
        <v>0</v>
      </c>
      <c r="O8" s="31">
        <v>0.45</v>
      </c>
      <c r="P8" s="25">
        <f t="shared" ref="P8:P11" si="1">ABS(SUMIF(D:D, M8, F:F))</f>
        <v>87.24</v>
      </c>
      <c r="Q8" s="25">
        <f t="shared" ref="Q8:Q11" si="2">P8 - N8</f>
        <v>87.24</v>
      </c>
      <c r="AL8" t="s">
        <v>1010</v>
      </c>
      <c r="AM8">
        <f>SUMIFS($F:$F,$X:$X,"Entrada")-SUMIFS($F:$F,$X:$X,"Saída")+SUMIFS($F:$F,$B:$B,"Entrada",$X:$X,"")-SUMIFS($F:$F,$B:$B,"Saída",$X:$X,"")</f>
        <v>-87.24</v>
      </c>
    </row>
    <row r="9" spans="1:39" x14ac:dyDescent="0.25">
      <c r="A9" s="11"/>
      <c r="B9" s="17"/>
      <c r="C9" s="17"/>
      <c r="D9" s="17"/>
      <c r="E9" s="17"/>
      <c r="F9" s="25"/>
      <c r="G9" s="25"/>
      <c r="H9" s="17"/>
      <c r="I9" s="17" t="s">
        <v>229</v>
      </c>
      <c r="J9" s="17" t="s">
        <v>117</v>
      </c>
      <c r="K9" s="25">
        <f t="shared" si="0"/>
        <v>0</v>
      </c>
      <c r="M9" s="17" t="s">
        <v>117</v>
      </c>
      <c r="N9" s="25">
        <f>K2*O9</f>
        <v>0</v>
      </c>
      <c r="O9" s="31">
        <v>0.2</v>
      </c>
      <c r="P9" s="25">
        <f t="shared" si="1"/>
        <v>0</v>
      </c>
      <c r="Q9" s="25">
        <f t="shared" si="2"/>
        <v>0</v>
      </c>
    </row>
    <row r="10" spans="1:39" x14ac:dyDescent="0.25">
      <c r="A10" s="11"/>
      <c r="B10" s="17"/>
      <c r="C10" s="17"/>
      <c r="D10" s="17"/>
      <c r="E10" s="17"/>
      <c r="F10" s="25"/>
      <c r="G10" s="25"/>
      <c r="H10" s="17"/>
      <c r="I10" s="17" t="s">
        <v>230</v>
      </c>
      <c r="J10" s="17" t="s">
        <v>120</v>
      </c>
      <c r="K10" s="25">
        <f t="shared" si="0"/>
        <v>0</v>
      </c>
      <c r="M10" s="17" t="s">
        <v>120</v>
      </c>
      <c r="N10" s="25">
        <f>K2*O10</f>
        <v>0</v>
      </c>
      <c r="O10" s="31">
        <v>0.3</v>
      </c>
      <c r="P10" s="25">
        <f t="shared" si="1"/>
        <v>0</v>
      </c>
      <c r="Q10" s="25">
        <f t="shared" si="2"/>
        <v>0</v>
      </c>
    </row>
    <row r="11" spans="1:39" x14ac:dyDescent="0.25">
      <c r="A11" s="11"/>
      <c r="B11" s="17"/>
      <c r="C11" s="17"/>
      <c r="D11" s="17"/>
      <c r="E11" s="17"/>
      <c r="F11" s="25"/>
      <c r="G11" s="25"/>
      <c r="H11" s="17"/>
      <c r="I11" s="17" t="s">
        <v>231</v>
      </c>
      <c r="J11" s="17" t="s">
        <v>123</v>
      </c>
      <c r="K11" s="25">
        <f t="shared" si="0"/>
        <v>0</v>
      </c>
      <c r="M11" s="17" t="s">
        <v>123</v>
      </c>
      <c r="N11" s="25">
        <f>K2*O11</f>
        <v>0</v>
      </c>
      <c r="O11" s="31">
        <v>0.05</v>
      </c>
      <c r="P11" s="25">
        <f t="shared" si="1"/>
        <v>0</v>
      </c>
      <c r="Q11" s="25">
        <f t="shared" si="2"/>
        <v>0</v>
      </c>
    </row>
    <row r="12" spans="1:39" x14ac:dyDescent="0.25">
      <c r="A12" s="11"/>
      <c r="B12" s="17"/>
      <c r="C12" s="17"/>
      <c r="D12" s="17"/>
      <c r="E12" s="17"/>
      <c r="F12" s="25"/>
      <c r="G12" s="25"/>
      <c r="H12" s="17"/>
      <c r="I12" s="17" t="s">
        <v>232</v>
      </c>
    </row>
    <row r="13" spans="1:39" x14ac:dyDescent="0.25">
      <c r="A13" s="11"/>
      <c r="B13" s="17"/>
      <c r="C13" s="17"/>
      <c r="D13" s="17"/>
      <c r="E13" s="17"/>
      <c r="F13" s="25"/>
      <c r="G13" s="25"/>
      <c r="H13" s="17"/>
      <c r="I13" s="17" t="s">
        <v>233</v>
      </c>
    </row>
    <row r="14" spans="1:39" x14ac:dyDescent="0.25">
      <c r="A14" s="11"/>
      <c r="B14" s="17"/>
      <c r="C14" s="17"/>
      <c r="D14" s="17"/>
      <c r="E14" s="17"/>
      <c r="F14" s="25"/>
      <c r="G14" s="25"/>
      <c r="H14" s="17"/>
      <c r="I14" s="17" t="s">
        <v>234</v>
      </c>
    </row>
    <row r="15" spans="1:39" x14ac:dyDescent="0.25">
      <c r="A15" s="11"/>
      <c r="B15" s="17"/>
      <c r="C15" s="17"/>
      <c r="D15" s="17"/>
      <c r="E15" s="17"/>
      <c r="F15" s="25"/>
      <c r="G15" s="25"/>
      <c r="H15" s="17"/>
      <c r="I15" s="17" t="s">
        <v>235</v>
      </c>
    </row>
    <row r="16" spans="1:39" x14ac:dyDescent="0.25">
      <c r="A16" s="11"/>
      <c r="B16" s="17"/>
      <c r="C16" s="17"/>
      <c r="D16" s="17"/>
      <c r="E16" s="17"/>
      <c r="F16" s="25"/>
      <c r="G16" s="25"/>
      <c r="H16" s="17"/>
      <c r="I16" s="17" t="s">
        <v>236</v>
      </c>
    </row>
    <row r="17" spans="1:9" x14ac:dyDescent="0.25">
      <c r="A17" s="11"/>
      <c r="B17" s="17"/>
      <c r="C17" s="17"/>
      <c r="D17" s="17"/>
      <c r="E17" s="17"/>
      <c r="F17" s="25"/>
      <c r="G17" s="25"/>
      <c r="H17" s="17"/>
      <c r="I17" s="17" t="s">
        <v>237</v>
      </c>
    </row>
    <row r="18" spans="1:9" x14ac:dyDescent="0.25">
      <c r="A18" s="11"/>
      <c r="B18" s="17"/>
      <c r="C18" s="17"/>
      <c r="D18" s="17"/>
      <c r="E18" s="17"/>
      <c r="F18" s="25"/>
      <c r="G18" s="25"/>
      <c r="H18" s="17"/>
      <c r="I18" s="17" t="s">
        <v>238</v>
      </c>
    </row>
    <row r="19" spans="1:9" x14ac:dyDescent="0.25">
      <c r="A19" s="11"/>
      <c r="B19" s="17"/>
      <c r="C19" s="17"/>
      <c r="D19" s="17"/>
      <c r="E19" s="17"/>
      <c r="F19" s="25"/>
      <c r="G19" s="25"/>
      <c r="H19" s="17"/>
      <c r="I19" s="17" t="s">
        <v>239</v>
      </c>
    </row>
    <row r="20" spans="1:9" x14ac:dyDescent="0.25">
      <c r="A20" s="11"/>
      <c r="B20" s="17"/>
      <c r="C20" s="17"/>
      <c r="D20" s="17"/>
      <c r="E20" s="17"/>
      <c r="F20" s="25"/>
      <c r="G20" s="25"/>
      <c r="H20" s="17"/>
      <c r="I20" s="17" t="s">
        <v>240</v>
      </c>
    </row>
    <row r="21" spans="1:9" x14ac:dyDescent="0.25">
      <c r="A21" s="11"/>
      <c r="B21" s="17"/>
      <c r="C21" s="17"/>
      <c r="D21" s="17"/>
      <c r="E21" s="17"/>
      <c r="F21" s="25"/>
      <c r="G21" s="25"/>
      <c r="H21" s="17"/>
      <c r="I21" s="17" t="s">
        <v>241</v>
      </c>
    </row>
    <row r="22" spans="1:9" x14ac:dyDescent="0.25">
      <c r="A22" s="11"/>
      <c r="B22" s="17"/>
      <c r="C22" s="17"/>
      <c r="D22" s="17"/>
      <c r="E22" s="17"/>
      <c r="F22" s="25"/>
      <c r="G22" s="25"/>
      <c r="H22" s="17"/>
      <c r="I22" s="17" t="s">
        <v>242</v>
      </c>
    </row>
    <row r="23" spans="1:9" x14ac:dyDescent="0.25">
      <c r="A23" s="11"/>
      <c r="B23" s="17"/>
      <c r="C23" s="17"/>
      <c r="D23" s="17"/>
      <c r="E23" s="17"/>
      <c r="F23" s="25"/>
      <c r="G23" s="25"/>
      <c r="H23" s="17"/>
      <c r="I23" s="17" t="s">
        <v>243</v>
      </c>
    </row>
    <row r="24" spans="1:9" x14ac:dyDescent="0.25">
      <c r="A24" s="11"/>
      <c r="B24" s="17"/>
      <c r="C24" s="17"/>
      <c r="D24" s="17"/>
      <c r="E24" s="17"/>
      <c r="F24" s="25"/>
      <c r="G24" s="25"/>
      <c r="H24" s="17"/>
      <c r="I24" s="17" t="s">
        <v>244</v>
      </c>
    </row>
    <row r="25" spans="1:9" x14ac:dyDescent="0.25">
      <c r="A25" s="11"/>
      <c r="B25" s="17"/>
      <c r="C25" s="17"/>
      <c r="D25" s="17"/>
      <c r="E25" s="17"/>
      <c r="F25" s="25"/>
      <c r="G25" s="25"/>
      <c r="H25" s="17"/>
      <c r="I25" s="17" t="s">
        <v>245</v>
      </c>
    </row>
    <row r="26" spans="1:9" x14ac:dyDescent="0.25">
      <c r="A26" s="11"/>
      <c r="B26" s="17"/>
      <c r="C26" s="17"/>
      <c r="D26" s="17"/>
      <c r="E26" s="17"/>
      <c r="F26" s="25"/>
      <c r="G26" s="25"/>
      <c r="H26" s="17"/>
      <c r="I26" s="17" t="s">
        <v>246</v>
      </c>
    </row>
    <row r="27" spans="1:9" x14ac:dyDescent="0.25">
      <c r="A27" s="11"/>
      <c r="B27" s="17"/>
      <c r="C27" s="17"/>
      <c r="D27" s="17"/>
      <c r="E27" s="17"/>
      <c r="F27" s="25"/>
      <c r="G27" s="25"/>
      <c r="H27" s="17"/>
      <c r="I27" s="17" t="s">
        <v>247</v>
      </c>
    </row>
    <row r="28" spans="1:9" x14ac:dyDescent="0.25">
      <c r="A28" s="11"/>
      <c r="B28" s="17"/>
      <c r="C28" s="17"/>
      <c r="D28" s="17"/>
      <c r="E28" s="17"/>
      <c r="F28" s="25"/>
      <c r="G28" s="25"/>
      <c r="H28" s="17"/>
      <c r="I28" s="17" t="s">
        <v>248</v>
      </c>
    </row>
    <row r="29" spans="1:9" x14ac:dyDescent="0.25">
      <c r="A29" s="11"/>
      <c r="B29" s="17"/>
      <c r="C29" s="17"/>
      <c r="D29" s="17"/>
      <c r="E29" s="17"/>
      <c r="F29" s="25"/>
      <c r="G29" s="25"/>
      <c r="H29" s="17"/>
      <c r="I29" s="17" t="s">
        <v>249</v>
      </c>
    </row>
    <row r="30" spans="1:9" x14ac:dyDescent="0.25">
      <c r="A30" s="11"/>
      <c r="B30" s="17"/>
      <c r="C30" s="17"/>
      <c r="D30" s="17"/>
      <c r="E30" s="17"/>
      <c r="F30" s="25"/>
      <c r="G30" s="25"/>
      <c r="H30" s="17"/>
      <c r="I30" s="17" t="s">
        <v>250</v>
      </c>
    </row>
    <row r="31" spans="1:9" x14ac:dyDescent="0.25">
      <c r="A31" s="11"/>
      <c r="B31" s="17"/>
      <c r="C31" s="17"/>
      <c r="D31" s="17"/>
      <c r="E31" s="17"/>
      <c r="F31" s="25"/>
      <c r="G31" s="25"/>
      <c r="H31" s="17"/>
      <c r="I31" s="17" t="s">
        <v>251</v>
      </c>
    </row>
    <row r="32" spans="1:9" x14ac:dyDescent="0.25">
      <c r="A32" s="11"/>
      <c r="B32" s="17"/>
      <c r="C32" s="17"/>
      <c r="D32" s="17"/>
      <c r="E32" s="17"/>
      <c r="F32" s="25"/>
      <c r="G32" s="25"/>
      <c r="H32" s="17"/>
      <c r="I32" s="17" t="s">
        <v>252</v>
      </c>
    </row>
    <row r="33" spans="1:9" x14ac:dyDescent="0.25">
      <c r="A33" s="11"/>
      <c r="B33" s="17"/>
      <c r="C33" s="17"/>
      <c r="D33" s="17"/>
      <c r="E33" s="17"/>
      <c r="F33" s="25"/>
      <c r="G33" s="25"/>
      <c r="H33" s="17"/>
      <c r="I33" s="17" t="s">
        <v>253</v>
      </c>
    </row>
    <row r="34" spans="1:9" x14ac:dyDescent="0.25">
      <c r="A34" s="11"/>
      <c r="B34" s="17"/>
      <c r="C34" s="17"/>
      <c r="D34" s="17"/>
      <c r="E34" s="17"/>
      <c r="F34" s="25"/>
      <c r="G34" s="25"/>
      <c r="H34" s="17"/>
      <c r="I34" s="17" t="s">
        <v>254</v>
      </c>
    </row>
    <row r="35" spans="1:9" x14ac:dyDescent="0.25">
      <c r="A35" s="11"/>
      <c r="B35" s="17"/>
      <c r="C35" s="17"/>
      <c r="D35" s="17"/>
      <c r="E35" s="17"/>
      <c r="F35" s="25"/>
      <c r="G35" s="25"/>
      <c r="H35" s="17"/>
      <c r="I35" s="17" t="s">
        <v>255</v>
      </c>
    </row>
    <row r="36" spans="1:9" x14ac:dyDescent="0.25">
      <c r="A36" s="11"/>
      <c r="B36" s="17"/>
      <c r="C36" s="17"/>
      <c r="D36" s="17"/>
      <c r="E36" s="17"/>
      <c r="F36" s="25"/>
      <c r="G36" s="25"/>
      <c r="H36" s="17"/>
      <c r="I36" s="17" t="s">
        <v>256</v>
      </c>
    </row>
    <row r="37" spans="1:9" x14ac:dyDescent="0.25">
      <c r="A37" s="11"/>
      <c r="B37" s="17"/>
      <c r="C37" s="17"/>
      <c r="D37" s="17"/>
      <c r="E37" s="17"/>
      <c r="F37" s="25"/>
      <c r="G37" s="25"/>
      <c r="H37" s="17"/>
      <c r="I37" s="17" t="s">
        <v>257</v>
      </c>
    </row>
    <row r="38" spans="1:9" x14ac:dyDescent="0.25">
      <c r="A38" s="11"/>
      <c r="B38" s="17"/>
      <c r="C38" s="17"/>
      <c r="D38" s="17"/>
      <c r="E38" s="17"/>
      <c r="F38" s="25"/>
      <c r="G38" s="25"/>
      <c r="H38" s="17"/>
      <c r="I38" s="17" t="s">
        <v>258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ref="G39:G50" si="3">IF(B39="Saída", -ABS(F39), ABS(F39))</f>
        <v>0</v>
      </c>
      <c r="H39" s="17"/>
      <c r="I39" s="17" t="s">
        <v>259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3"/>
        <v>0</v>
      </c>
      <c r="H40" s="17"/>
      <c r="I40" s="17" t="s">
        <v>260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3"/>
        <v>0</v>
      </c>
      <c r="H41" s="17"/>
      <c r="I41" s="17" t="s">
        <v>261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3"/>
        <v>0</v>
      </c>
      <c r="H42" s="17"/>
      <c r="I42" s="17" t="s">
        <v>262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3"/>
        <v>0</v>
      </c>
      <c r="H43" s="17"/>
      <c r="I43" s="17" t="s">
        <v>263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3"/>
        <v>0</v>
      </c>
      <c r="H44" s="17"/>
      <c r="I44" s="17" t="s">
        <v>264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3"/>
        <v>0</v>
      </c>
      <c r="H45" s="17"/>
      <c r="I45" s="17" t="s">
        <v>265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3"/>
        <v>0</v>
      </c>
      <c r="H46" s="17"/>
      <c r="I46" s="17" t="s">
        <v>266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3"/>
        <v>0</v>
      </c>
      <c r="H47" s="17"/>
      <c r="I47" s="17" t="s">
        <v>267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3"/>
        <v>0</v>
      </c>
      <c r="H48" s="17"/>
      <c r="I48" s="17" t="s">
        <v>268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3"/>
        <v>0</v>
      </c>
      <c r="H49" s="17"/>
      <c r="I49" s="17" t="s">
        <v>269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3"/>
        <v>0</v>
      </c>
      <c r="H50" s="17"/>
      <c r="I50" s="17" t="s">
        <v>270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50">
    <cfRule type="expression" dxfId="24" priority="1">
      <formula>G2&lt;0</formula>
    </cfRule>
    <cfRule type="expression" dxfId="23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CATEGORIASCONFIGS!$E$2:$E$24</xm:f>
          </x14:formula1>
          <xm:sqref>E2:E50</xm:sqref>
        </x14:dataValidation>
        <x14:dataValidation type="list" allowBlank="1" showErrorMessage="1" xr:uid="{00000000-0002-0000-0500-000001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500-000002000000}">
          <x14:formula1>
            <xm:f>CATEGORIASCONFIGS!$C$2:$C$5</xm:f>
          </x14:formula1>
          <xm:sqref>D2:D50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46470.474403645829</v>
      </c>
      <c r="B2" s="17" t="s">
        <v>165</v>
      </c>
      <c r="C2" s="17" t="s">
        <v>166</v>
      </c>
      <c r="D2" s="17" t="s">
        <v>113</v>
      </c>
      <c r="E2" s="17" t="s">
        <v>124</v>
      </c>
      <c r="F2" s="25">
        <v>43.6</v>
      </c>
      <c r="G2" s="25">
        <f t="shared" ref="G2:G50" si="0">IF(B2="Saída", -ABS(F2), ABS(F2))</f>
        <v>-43.6</v>
      </c>
      <c r="H2" s="17" t="s">
        <v>167</v>
      </c>
      <c r="I2" s="17" t="s">
        <v>271</v>
      </c>
      <c r="J2" s="17"/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>
        <v>46470.474403645829</v>
      </c>
      <c r="B3" s="17" t="s">
        <v>165</v>
      </c>
      <c r="C3" s="17" t="s">
        <v>166</v>
      </c>
      <c r="D3" s="17" t="s">
        <v>113</v>
      </c>
      <c r="E3" s="17" t="s">
        <v>124</v>
      </c>
      <c r="F3" s="25">
        <v>43.6</v>
      </c>
      <c r="G3" s="25">
        <f t="shared" si="0"/>
        <v>-43.6</v>
      </c>
      <c r="H3" s="17" t="s">
        <v>167</v>
      </c>
      <c r="I3" s="17" t="s">
        <v>272</v>
      </c>
      <c r="J3" s="17"/>
      <c r="K3" s="25">
        <f>SUMIF(B:B,"Saída",G:G)</f>
        <v>-87.2</v>
      </c>
      <c r="AL3" t="s">
        <v>1006</v>
      </c>
      <c r="AM3">
        <f>SUMIFS($F:$F,$X:$X,"Saída",$Y:$Y,"Despesa")+SUMIFS($F:$F,$B:$B,"Saída",$X:$X,"",$D:$D,"&lt;&gt;Investimentos",$D:$D,"&lt;&gt;Sonhos")</f>
        <v>87.2</v>
      </c>
    </row>
    <row r="4" spans="1:39" x14ac:dyDescent="0.25">
      <c r="A4" s="11"/>
      <c r="B4" s="17"/>
      <c r="C4" s="17"/>
      <c r="D4" s="17"/>
      <c r="E4" s="17"/>
      <c r="F4" s="25"/>
      <c r="G4" s="25">
        <f t="shared" si="0"/>
        <v>0</v>
      </c>
      <c r="H4" s="17"/>
      <c r="I4" s="17" t="s">
        <v>273</v>
      </c>
      <c r="J4" s="17" t="s">
        <v>224</v>
      </c>
      <c r="K4" s="25">
        <f>K2 + K3</f>
        <v>-87.2</v>
      </c>
      <c r="AL4" t="s">
        <v>1007</v>
      </c>
      <c r="AM4">
        <f>SUMIFS($F:$F,$X:$X,"Saída",$Y:$Y,"Despesa",$AB:$AB,"Essencial")+SUMIFS($F:$F,$B:$B,"Saída",$X:$X,"",$D:$D,"Essencial")</f>
        <v>87.2</v>
      </c>
    </row>
    <row r="5" spans="1:39" x14ac:dyDescent="0.25">
      <c r="A5" s="11"/>
      <c r="B5" s="17"/>
      <c r="C5" s="17"/>
      <c r="D5" s="17"/>
      <c r="E5" s="17"/>
      <c r="F5" s="25"/>
      <c r="G5" s="25">
        <f t="shared" si="0"/>
        <v>0</v>
      </c>
      <c r="H5" s="17"/>
      <c r="I5" s="17" t="s">
        <v>274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>
        <f t="shared" si="0"/>
        <v>0</v>
      </c>
      <c r="H6" s="17"/>
      <c r="I6" s="17" t="s">
        <v>275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>
        <f t="shared" si="0"/>
        <v>0</v>
      </c>
      <c r="H7" s="17"/>
      <c r="I7" s="17" t="s">
        <v>276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>
        <f t="shared" si="0"/>
        <v>0</v>
      </c>
      <c r="H8" s="17"/>
      <c r="I8" s="17" t="s">
        <v>277</v>
      </c>
      <c r="J8" s="17" t="s">
        <v>113</v>
      </c>
      <c r="K8" s="25">
        <f t="shared" ref="K8:K11" si="1">SUMIF($D:$D, J8, $F:$F)</f>
        <v>87.2</v>
      </c>
      <c r="M8" s="17" t="s">
        <v>113</v>
      </c>
      <c r="N8" s="25">
        <f>K2*O8</f>
        <v>0</v>
      </c>
      <c r="O8" s="31">
        <v>0.45</v>
      </c>
      <c r="P8" s="25">
        <f t="shared" ref="P8:P11" si="2">ABS(SUMIF(D:D, M8, F:F))</f>
        <v>87.2</v>
      </c>
      <c r="Q8" s="25">
        <f t="shared" ref="Q8:Q11" si="3">P8 - N8</f>
        <v>87.2</v>
      </c>
      <c r="AL8" t="s">
        <v>1010</v>
      </c>
      <c r="AM8">
        <f>SUMIFS($F:$F,$X:$X,"Entrada")-SUMIFS($F:$F,$X:$X,"Saída")+SUMIFS($F:$F,$B:$B,"Entrada",$X:$X,"")-SUMIFS($F:$F,$B:$B,"Saída",$X:$X,"")</f>
        <v>-87.2</v>
      </c>
    </row>
    <row r="9" spans="1:39" x14ac:dyDescent="0.25">
      <c r="A9" s="11"/>
      <c r="B9" s="17"/>
      <c r="C9" s="17"/>
      <c r="D9" s="17"/>
      <c r="E9" s="17"/>
      <c r="F9" s="25"/>
      <c r="G9" s="25">
        <f t="shared" si="0"/>
        <v>0</v>
      </c>
      <c r="H9" s="17"/>
      <c r="I9" s="17" t="s">
        <v>278</v>
      </c>
      <c r="J9" s="17" t="s">
        <v>117</v>
      </c>
      <c r="K9" s="25">
        <f t="shared" si="1"/>
        <v>0</v>
      </c>
      <c r="M9" s="17" t="s">
        <v>117</v>
      </c>
      <c r="N9" s="25">
        <f>K2*O9</f>
        <v>0</v>
      </c>
      <c r="O9" s="31">
        <v>0.2</v>
      </c>
      <c r="P9" s="25">
        <f t="shared" si="2"/>
        <v>0</v>
      </c>
      <c r="Q9" s="25">
        <f t="shared" si="3"/>
        <v>0</v>
      </c>
    </row>
    <row r="10" spans="1:39" x14ac:dyDescent="0.25">
      <c r="A10" s="11"/>
      <c r="B10" s="17"/>
      <c r="C10" s="17"/>
      <c r="D10" s="17"/>
      <c r="E10" s="17"/>
      <c r="F10" s="25"/>
      <c r="G10" s="25">
        <f t="shared" si="0"/>
        <v>0</v>
      </c>
      <c r="H10" s="17"/>
      <c r="I10" s="17" t="s">
        <v>279</v>
      </c>
      <c r="J10" s="17" t="s">
        <v>120</v>
      </c>
      <c r="K10" s="25">
        <f t="shared" si="1"/>
        <v>0</v>
      </c>
      <c r="M10" s="17" t="s">
        <v>120</v>
      </c>
      <c r="N10" s="25">
        <f>K2*O10</f>
        <v>0</v>
      </c>
      <c r="O10" s="31">
        <v>0.3</v>
      </c>
      <c r="P10" s="25">
        <f t="shared" si="2"/>
        <v>0</v>
      </c>
      <c r="Q10" s="25">
        <f t="shared" si="3"/>
        <v>0</v>
      </c>
    </row>
    <row r="11" spans="1:39" x14ac:dyDescent="0.25">
      <c r="A11" s="11"/>
      <c r="B11" s="17"/>
      <c r="C11" s="17"/>
      <c r="D11" s="17"/>
      <c r="E11" s="17"/>
      <c r="F11" s="25"/>
      <c r="G11" s="25">
        <f t="shared" si="0"/>
        <v>0</v>
      </c>
      <c r="H11" s="17"/>
      <c r="I11" s="17" t="s">
        <v>280</v>
      </c>
      <c r="J11" s="17" t="s">
        <v>123</v>
      </c>
      <c r="K11" s="25">
        <f t="shared" si="1"/>
        <v>0</v>
      </c>
      <c r="M11" s="17" t="s">
        <v>123</v>
      </c>
      <c r="N11" s="25">
        <f>K2*O11</f>
        <v>0</v>
      </c>
      <c r="O11" s="31">
        <v>0.05</v>
      </c>
      <c r="P11" s="25">
        <f t="shared" si="2"/>
        <v>0</v>
      </c>
      <c r="Q11" s="25">
        <f t="shared" si="3"/>
        <v>0</v>
      </c>
    </row>
    <row r="12" spans="1:39" x14ac:dyDescent="0.25">
      <c r="A12" s="11"/>
      <c r="B12" s="17"/>
      <c r="C12" s="17"/>
      <c r="D12" s="17"/>
      <c r="E12" s="17"/>
      <c r="F12" s="25"/>
      <c r="G12" s="25">
        <f t="shared" si="0"/>
        <v>0</v>
      </c>
      <c r="H12" s="17"/>
      <c r="I12" s="17" t="s">
        <v>281</v>
      </c>
    </row>
    <row r="13" spans="1:39" x14ac:dyDescent="0.25">
      <c r="A13" s="11"/>
      <c r="B13" s="17"/>
      <c r="C13" s="17"/>
      <c r="D13" s="17"/>
      <c r="E13" s="17"/>
      <c r="F13" s="25"/>
      <c r="G13" s="25">
        <f t="shared" si="0"/>
        <v>0</v>
      </c>
      <c r="H13" s="17"/>
      <c r="I13" s="17" t="s">
        <v>282</v>
      </c>
    </row>
    <row r="14" spans="1:39" x14ac:dyDescent="0.25">
      <c r="A14" s="11"/>
      <c r="B14" s="17"/>
      <c r="C14" s="17"/>
      <c r="D14" s="17"/>
      <c r="E14" s="17"/>
      <c r="F14" s="25"/>
      <c r="G14" s="25">
        <f t="shared" si="0"/>
        <v>0</v>
      </c>
      <c r="H14" s="17"/>
      <c r="I14" s="17" t="s">
        <v>283</v>
      </c>
    </row>
    <row r="15" spans="1:39" x14ac:dyDescent="0.25">
      <c r="A15" s="11"/>
      <c r="B15" s="17"/>
      <c r="C15" s="17"/>
      <c r="D15" s="17"/>
      <c r="E15" s="17"/>
      <c r="F15" s="25"/>
      <c r="G15" s="25">
        <f t="shared" si="0"/>
        <v>0</v>
      </c>
      <c r="H15" s="17"/>
      <c r="I15" s="17" t="s">
        <v>284</v>
      </c>
    </row>
    <row r="16" spans="1:39" x14ac:dyDescent="0.25">
      <c r="A16" s="11"/>
      <c r="B16" s="17"/>
      <c r="C16" s="17"/>
      <c r="D16" s="17"/>
      <c r="E16" s="17"/>
      <c r="F16" s="25"/>
      <c r="G16" s="25">
        <f t="shared" si="0"/>
        <v>0</v>
      </c>
      <c r="H16" s="17"/>
      <c r="I16" s="17" t="s">
        <v>285</v>
      </c>
    </row>
    <row r="17" spans="1:9" x14ac:dyDescent="0.25">
      <c r="A17" s="11"/>
      <c r="B17" s="17"/>
      <c r="C17" s="17"/>
      <c r="D17" s="17"/>
      <c r="E17" s="17"/>
      <c r="F17" s="25"/>
      <c r="G17" s="25">
        <f t="shared" si="0"/>
        <v>0</v>
      </c>
      <c r="H17" s="17"/>
      <c r="I17" s="17" t="s">
        <v>286</v>
      </c>
    </row>
    <row r="18" spans="1:9" x14ac:dyDescent="0.25">
      <c r="A18" s="11"/>
      <c r="B18" s="17"/>
      <c r="C18" s="17"/>
      <c r="D18" s="17"/>
      <c r="E18" s="17"/>
      <c r="F18" s="25"/>
      <c r="G18" s="25">
        <f t="shared" si="0"/>
        <v>0</v>
      </c>
      <c r="H18" s="17"/>
      <c r="I18" s="17" t="s">
        <v>287</v>
      </c>
    </row>
    <row r="19" spans="1:9" x14ac:dyDescent="0.25">
      <c r="A19" s="11"/>
      <c r="B19" s="17"/>
      <c r="C19" s="17"/>
      <c r="D19" s="17"/>
      <c r="E19" s="17"/>
      <c r="F19" s="25"/>
      <c r="G19" s="25">
        <f t="shared" si="0"/>
        <v>0</v>
      </c>
      <c r="H19" s="17"/>
      <c r="I19" s="17" t="s">
        <v>288</v>
      </c>
    </row>
    <row r="20" spans="1:9" x14ac:dyDescent="0.25">
      <c r="A20" s="11"/>
      <c r="B20" s="17"/>
      <c r="C20" s="17"/>
      <c r="D20" s="17"/>
      <c r="E20" s="17"/>
      <c r="F20" s="25"/>
      <c r="G20" s="25">
        <f t="shared" si="0"/>
        <v>0</v>
      </c>
      <c r="H20" s="17"/>
      <c r="I20" s="17" t="s">
        <v>289</v>
      </c>
    </row>
    <row r="21" spans="1:9" x14ac:dyDescent="0.25">
      <c r="A21" s="11"/>
      <c r="B21" s="17"/>
      <c r="C21" s="17"/>
      <c r="D21" s="17"/>
      <c r="E21" s="17"/>
      <c r="F21" s="25"/>
      <c r="G21" s="25">
        <f t="shared" si="0"/>
        <v>0</v>
      </c>
      <c r="H21" s="17"/>
      <c r="I21" s="17" t="s">
        <v>290</v>
      </c>
    </row>
    <row r="22" spans="1:9" x14ac:dyDescent="0.25">
      <c r="A22" s="11"/>
      <c r="B22" s="17"/>
      <c r="C22" s="17"/>
      <c r="D22" s="17"/>
      <c r="E22" s="17"/>
      <c r="F22" s="25"/>
      <c r="G22" s="25">
        <f t="shared" si="0"/>
        <v>0</v>
      </c>
      <c r="H22" s="17"/>
      <c r="I22" s="17" t="s">
        <v>291</v>
      </c>
    </row>
    <row r="23" spans="1:9" x14ac:dyDescent="0.25">
      <c r="A23" s="11"/>
      <c r="B23" s="17"/>
      <c r="C23" s="17"/>
      <c r="D23" s="17"/>
      <c r="E23" s="17"/>
      <c r="F23" s="25"/>
      <c r="G23" s="25">
        <f t="shared" si="0"/>
        <v>0</v>
      </c>
      <c r="H23" s="17"/>
      <c r="I23" s="17" t="s">
        <v>292</v>
      </c>
    </row>
    <row r="24" spans="1:9" x14ac:dyDescent="0.25">
      <c r="A24" s="11"/>
      <c r="B24" s="17"/>
      <c r="C24" s="17"/>
      <c r="D24" s="17"/>
      <c r="E24" s="17"/>
      <c r="F24" s="25"/>
      <c r="G24" s="25">
        <f t="shared" si="0"/>
        <v>0</v>
      </c>
      <c r="H24" s="17"/>
      <c r="I24" s="17" t="s">
        <v>293</v>
      </c>
    </row>
    <row r="25" spans="1:9" x14ac:dyDescent="0.25">
      <c r="A25" s="11"/>
      <c r="B25" s="17"/>
      <c r="C25" s="17"/>
      <c r="D25" s="17"/>
      <c r="E25" s="17"/>
      <c r="F25" s="25"/>
      <c r="G25" s="25">
        <f t="shared" si="0"/>
        <v>0</v>
      </c>
      <c r="H25" s="17"/>
      <c r="I25" s="17" t="s">
        <v>294</v>
      </c>
    </row>
    <row r="26" spans="1:9" x14ac:dyDescent="0.25">
      <c r="A26" s="11"/>
      <c r="B26" s="17"/>
      <c r="C26" s="17"/>
      <c r="D26" s="17"/>
      <c r="E26" s="17"/>
      <c r="F26" s="25"/>
      <c r="G26" s="25">
        <f t="shared" si="0"/>
        <v>0</v>
      </c>
      <c r="H26" s="17"/>
      <c r="I26" s="17" t="s">
        <v>295</v>
      </c>
    </row>
    <row r="27" spans="1:9" x14ac:dyDescent="0.25">
      <c r="A27" s="11"/>
      <c r="B27" s="17"/>
      <c r="C27" s="17"/>
      <c r="D27" s="17"/>
      <c r="E27" s="17"/>
      <c r="F27" s="25"/>
      <c r="G27" s="25">
        <f t="shared" si="0"/>
        <v>0</v>
      </c>
      <c r="H27" s="17"/>
      <c r="I27" s="17" t="s">
        <v>296</v>
      </c>
    </row>
    <row r="28" spans="1:9" x14ac:dyDescent="0.25">
      <c r="A28" s="11"/>
      <c r="B28" s="17"/>
      <c r="C28" s="17"/>
      <c r="D28" s="17"/>
      <c r="E28" s="17"/>
      <c r="F28" s="25"/>
      <c r="G28" s="25">
        <f t="shared" si="0"/>
        <v>0</v>
      </c>
      <c r="H28" s="17"/>
      <c r="I28" s="17" t="s">
        <v>297</v>
      </c>
    </row>
    <row r="29" spans="1:9" x14ac:dyDescent="0.25">
      <c r="A29" s="11"/>
      <c r="B29" s="17"/>
      <c r="C29" s="17"/>
      <c r="D29" s="17"/>
      <c r="E29" s="17"/>
      <c r="F29" s="25"/>
      <c r="G29" s="25">
        <f t="shared" si="0"/>
        <v>0</v>
      </c>
      <c r="H29" s="17"/>
      <c r="I29" s="17" t="s">
        <v>298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si="0"/>
        <v>0</v>
      </c>
      <c r="H30" s="17"/>
      <c r="I30" s="17" t="s">
        <v>299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0"/>
        <v>0</v>
      </c>
      <c r="H31" s="17"/>
      <c r="I31" s="17" t="s">
        <v>300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0"/>
        <v>0</v>
      </c>
      <c r="H32" s="17"/>
      <c r="I32" s="17" t="s">
        <v>301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0"/>
        <v>0</v>
      </c>
      <c r="H33" s="17"/>
      <c r="I33" s="17" t="s">
        <v>302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0"/>
        <v>0</v>
      </c>
      <c r="H34" s="17"/>
      <c r="I34" s="17" t="s">
        <v>303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0"/>
        <v>0</v>
      </c>
      <c r="H35" s="17"/>
      <c r="I35" s="17" t="s">
        <v>304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0"/>
        <v>0</v>
      </c>
      <c r="H36" s="17"/>
      <c r="I36" s="17" t="s">
        <v>305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0"/>
        <v>0</v>
      </c>
      <c r="H37" s="17"/>
      <c r="I37" s="17" t="s">
        <v>306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0"/>
        <v>0</v>
      </c>
      <c r="H38" s="17"/>
      <c r="I38" s="17" t="s">
        <v>307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0"/>
        <v>0</v>
      </c>
      <c r="H39" s="17"/>
      <c r="I39" s="17" t="s">
        <v>308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0"/>
        <v>0</v>
      </c>
      <c r="H40" s="17"/>
      <c r="I40" s="17" t="s">
        <v>309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0"/>
        <v>0</v>
      </c>
      <c r="H41" s="17"/>
      <c r="I41" s="17" t="s">
        <v>310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0"/>
        <v>0</v>
      </c>
      <c r="H42" s="17"/>
      <c r="I42" s="17" t="s">
        <v>311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0"/>
        <v>0</v>
      </c>
      <c r="H43" s="17"/>
      <c r="I43" s="17" t="s">
        <v>312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0"/>
        <v>0</v>
      </c>
      <c r="H44" s="17"/>
      <c r="I44" s="17" t="s">
        <v>313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0"/>
        <v>0</v>
      </c>
      <c r="H45" s="17"/>
      <c r="I45" s="17" t="s">
        <v>314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0"/>
        <v>0</v>
      </c>
      <c r="H46" s="17"/>
      <c r="I46" s="17" t="s">
        <v>315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0"/>
        <v>0</v>
      </c>
      <c r="H47" s="17"/>
      <c r="I47" s="17" t="s">
        <v>316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0"/>
        <v>0</v>
      </c>
      <c r="H48" s="17"/>
      <c r="I48" s="17" t="s">
        <v>317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0"/>
        <v>0</v>
      </c>
      <c r="H49" s="17"/>
      <c r="I49" s="17" t="s">
        <v>318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0"/>
        <v>0</v>
      </c>
      <c r="H50" s="17"/>
      <c r="I50" s="17" t="s">
        <v>319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50">
    <cfRule type="expression" dxfId="22" priority="1">
      <formula>G2&lt;0</formula>
    </cfRule>
    <cfRule type="expression" dxfId="21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0000000}">
          <x14:formula1>
            <xm:f>CATEGORIASCONFIGS!$E$2:$E$24</xm:f>
          </x14:formula1>
          <xm:sqref>E2:E50</xm:sqref>
        </x14:dataValidation>
        <x14:dataValidation type="list" allowBlank="1" showErrorMessage="1" xr:uid="{00000000-0002-0000-0600-000001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600-000002000000}">
          <x14:formula1>
            <xm:f>CATEGORIASCONFIGS!$C$2:$C$5</xm:f>
          </x14:formula1>
          <xm:sqref>D2:D50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/>
      <c r="B2" s="17"/>
      <c r="C2" s="17"/>
      <c r="D2" s="17"/>
      <c r="E2" s="17"/>
      <c r="F2" s="25"/>
      <c r="G2" s="25">
        <f t="shared" ref="G2:G50" si="0">IF(B2="Saída", -ABS(F2), ABS(F2))</f>
        <v>0</v>
      </c>
      <c r="H2" s="17"/>
      <c r="I2" s="17" t="s">
        <v>320</v>
      </c>
      <c r="J2" s="17" t="s">
        <v>162</v>
      </c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/>
      <c r="B3" s="17"/>
      <c r="C3" s="17"/>
      <c r="D3" s="17"/>
      <c r="E3" s="17"/>
      <c r="F3" s="25"/>
      <c r="G3" s="25">
        <f t="shared" si="0"/>
        <v>0</v>
      </c>
      <c r="H3" s="17"/>
      <c r="I3" s="17" t="s">
        <v>321</v>
      </c>
      <c r="J3" s="17" t="s">
        <v>164</v>
      </c>
      <c r="K3" s="25">
        <f>SUMIF(B:B,"Saída",G:G)</f>
        <v>0</v>
      </c>
      <c r="AL3" t="s">
        <v>1006</v>
      </c>
      <c r="AM3">
        <f>SUMIFS($F:$F,$X:$X,"Saída",$Y:$Y,"Despesa")+SUMIFS($F:$F,$B:$B,"Saída",$X:$X,"",$D:$D,"&lt;&gt;Investimentos",$D:$D,"&lt;&gt;Sonhos")</f>
        <v>0</v>
      </c>
    </row>
    <row r="4" spans="1:39" x14ac:dyDescent="0.25">
      <c r="A4" s="11"/>
      <c r="B4" s="17"/>
      <c r="C4" s="17"/>
      <c r="D4" s="17"/>
      <c r="E4" s="17"/>
      <c r="F4" s="25"/>
      <c r="G4" s="25">
        <f t="shared" si="0"/>
        <v>0</v>
      </c>
      <c r="H4" s="17"/>
      <c r="I4" s="17" t="s">
        <v>322</v>
      </c>
      <c r="J4" s="17" t="s">
        <v>224</v>
      </c>
      <c r="K4" s="25">
        <f>K2 + K3</f>
        <v>0</v>
      </c>
      <c r="AL4" t="s">
        <v>1007</v>
      </c>
      <c r="AM4">
        <f>SUMIFS($F:$F,$X:$X,"Saída",$Y:$Y,"Despesa",$AB:$AB,"Essencial")+SUMIFS($F:$F,$B:$B,"Saída",$X:$X,"",$D:$D,"Essencial")</f>
        <v>0</v>
      </c>
    </row>
    <row r="5" spans="1:39" x14ac:dyDescent="0.25">
      <c r="A5" s="11"/>
      <c r="B5" s="17"/>
      <c r="C5" s="17"/>
      <c r="D5" s="17"/>
      <c r="E5" s="17"/>
      <c r="F5" s="25"/>
      <c r="G5" s="25">
        <f t="shared" si="0"/>
        <v>0</v>
      </c>
      <c r="H5" s="17"/>
      <c r="I5" s="17" t="s">
        <v>323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>
        <f t="shared" si="0"/>
        <v>0</v>
      </c>
      <c r="H6" s="17"/>
      <c r="I6" s="17" t="s">
        <v>324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>
        <f t="shared" si="0"/>
        <v>0</v>
      </c>
      <c r="H7" s="17"/>
      <c r="I7" s="17" t="s">
        <v>325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>
        <f t="shared" si="0"/>
        <v>0</v>
      </c>
      <c r="H8" s="17"/>
      <c r="I8" s="17" t="s">
        <v>326</v>
      </c>
      <c r="J8" s="17" t="s">
        <v>113</v>
      </c>
      <c r="K8" s="25">
        <f t="shared" ref="K8:K11" si="1">SUMIF($D:$D, J8, $F:$F)</f>
        <v>0</v>
      </c>
      <c r="M8" s="17" t="s">
        <v>113</v>
      </c>
      <c r="N8" s="25">
        <f>K2*O8</f>
        <v>0</v>
      </c>
      <c r="O8" s="31">
        <v>0.45</v>
      </c>
      <c r="P8" s="25">
        <f t="shared" ref="P8:P11" si="2">ABS(SUMIF(D:D, M8, F:F))</f>
        <v>0</v>
      </c>
      <c r="Q8" s="25">
        <f t="shared" ref="Q8:Q11" si="3">P8 - N8</f>
        <v>0</v>
      </c>
      <c r="AL8" t="s">
        <v>1010</v>
      </c>
      <c r="AM8">
        <f>SUMIFS($F:$F,$X:$X,"Entrada")-SUMIFS($F:$F,$X:$X,"Saída")+SUMIFS($F:$F,$B:$B,"Entrada",$X:$X,"")-SUMIFS($F:$F,$B:$B,"Saída",$X:$X,"")</f>
        <v>0</v>
      </c>
    </row>
    <row r="9" spans="1:39" x14ac:dyDescent="0.25">
      <c r="A9" s="11"/>
      <c r="B9" s="17"/>
      <c r="C9" s="17"/>
      <c r="D9" s="17"/>
      <c r="E9" s="17"/>
      <c r="F9" s="25"/>
      <c r="G9" s="25">
        <f t="shared" si="0"/>
        <v>0</v>
      </c>
      <c r="H9" s="17"/>
      <c r="I9" s="17" t="s">
        <v>327</v>
      </c>
      <c r="J9" s="17" t="s">
        <v>117</v>
      </c>
      <c r="K9" s="25">
        <f t="shared" si="1"/>
        <v>0</v>
      </c>
      <c r="M9" s="17" t="s">
        <v>117</v>
      </c>
      <c r="N9" s="25">
        <f>K2*O9</f>
        <v>0</v>
      </c>
      <c r="O9" s="31">
        <v>0.2</v>
      </c>
      <c r="P9" s="25">
        <f t="shared" si="2"/>
        <v>0</v>
      </c>
      <c r="Q9" s="25">
        <f t="shared" si="3"/>
        <v>0</v>
      </c>
    </row>
    <row r="10" spans="1:39" x14ac:dyDescent="0.25">
      <c r="A10" s="11"/>
      <c r="B10" s="17"/>
      <c r="C10" s="17"/>
      <c r="D10" s="17"/>
      <c r="E10" s="17"/>
      <c r="F10" s="25"/>
      <c r="G10" s="25">
        <f t="shared" si="0"/>
        <v>0</v>
      </c>
      <c r="H10" s="17"/>
      <c r="I10" s="17" t="s">
        <v>328</v>
      </c>
      <c r="J10" s="17" t="s">
        <v>120</v>
      </c>
      <c r="K10" s="25">
        <f t="shared" si="1"/>
        <v>0</v>
      </c>
      <c r="M10" s="17" t="s">
        <v>120</v>
      </c>
      <c r="N10" s="25">
        <f>K2*O10</f>
        <v>0</v>
      </c>
      <c r="O10" s="31">
        <v>0.3</v>
      </c>
      <c r="P10" s="25">
        <f t="shared" si="2"/>
        <v>0</v>
      </c>
      <c r="Q10" s="25">
        <f t="shared" si="3"/>
        <v>0</v>
      </c>
    </row>
    <row r="11" spans="1:39" x14ac:dyDescent="0.25">
      <c r="A11" s="11"/>
      <c r="B11" s="17"/>
      <c r="C11" s="17"/>
      <c r="D11" s="17"/>
      <c r="E11" s="17"/>
      <c r="F11" s="25"/>
      <c r="G11" s="25">
        <f t="shared" si="0"/>
        <v>0</v>
      </c>
      <c r="H11" s="17"/>
      <c r="I11" s="17" t="s">
        <v>329</v>
      </c>
      <c r="J11" s="17" t="s">
        <v>123</v>
      </c>
      <c r="K11" s="25">
        <f t="shared" si="1"/>
        <v>0</v>
      </c>
      <c r="M11" s="17" t="s">
        <v>123</v>
      </c>
      <c r="N11" s="25">
        <f>K2*O11</f>
        <v>0</v>
      </c>
      <c r="O11" s="31">
        <v>0.05</v>
      </c>
      <c r="P11" s="25">
        <f t="shared" si="2"/>
        <v>0</v>
      </c>
      <c r="Q11" s="25">
        <f t="shared" si="3"/>
        <v>0</v>
      </c>
    </row>
    <row r="12" spans="1:39" x14ac:dyDescent="0.25">
      <c r="A12" s="11"/>
      <c r="B12" s="17"/>
      <c r="C12" s="17"/>
      <c r="D12" s="17"/>
      <c r="E12" s="17"/>
      <c r="F12" s="25"/>
      <c r="G12" s="25">
        <f t="shared" si="0"/>
        <v>0</v>
      </c>
      <c r="H12" s="17"/>
      <c r="I12" s="17" t="s">
        <v>330</v>
      </c>
    </row>
    <row r="13" spans="1:39" x14ac:dyDescent="0.25">
      <c r="A13" s="11"/>
      <c r="B13" s="17"/>
      <c r="C13" s="17"/>
      <c r="D13" s="17"/>
      <c r="E13" s="17"/>
      <c r="F13" s="25"/>
      <c r="G13" s="25">
        <f t="shared" si="0"/>
        <v>0</v>
      </c>
      <c r="H13" s="17"/>
      <c r="I13" s="17" t="s">
        <v>331</v>
      </c>
    </row>
    <row r="14" spans="1:39" x14ac:dyDescent="0.25">
      <c r="A14" s="11"/>
      <c r="B14" s="17"/>
      <c r="C14" s="17"/>
      <c r="D14" s="17"/>
      <c r="E14" s="17"/>
      <c r="F14" s="25"/>
      <c r="G14" s="25">
        <f t="shared" si="0"/>
        <v>0</v>
      </c>
      <c r="H14" s="17"/>
      <c r="I14" s="17" t="s">
        <v>332</v>
      </c>
    </row>
    <row r="15" spans="1:39" x14ac:dyDescent="0.25">
      <c r="A15" s="11"/>
      <c r="B15" s="17"/>
      <c r="C15" s="17"/>
      <c r="D15" s="17"/>
      <c r="E15" s="17"/>
      <c r="F15" s="25"/>
      <c r="G15" s="25">
        <f t="shared" si="0"/>
        <v>0</v>
      </c>
      <c r="H15" s="17"/>
      <c r="I15" s="17" t="s">
        <v>333</v>
      </c>
    </row>
    <row r="16" spans="1:39" x14ac:dyDescent="0.25">
      <c r="A16" s="11"/>
      <c r="B16" s="17"/>
      <c r="C16" s="17"/>
      <c r="D16" s="17"/>
      <c r="E16" s="17"/>
      <c r="F16" s="25"/>
      <c r="G16" s="25">
        <f t="shared" si="0"/>
        <v>0</v>
      </c>
      <c r="H16" s="17"/>
      <c r="I16" s="17" t="s">
        <v>334</v>
      </c>
    </row>
    <row r="17" spans="1:9" x14ac:dyDescent="0.25">
      <c r="A17" s="11"/>
      <c r="B17" s="17"/>
      <c r="C17" s="17"/>
      <c r="D17" s="17"/>
      <c r="E17" s="17"/>
      <c r="F17" s="25"/>
      <c r="G17" s="25">
        <f t="shared" si="0"/>
        <v>0</v>
      </c>
      <c r="H17" s="17"/>
      <c r="I17" s="17" t="s">
        <v>335</v>
      </c>
    </row>
    <row r="18" spans="1:9" x14ac:dyDescent="0.25">
      <c r="A18" s="11"/>
      <c r="B18" s="17"/>
      <c r="C18" s="17"/>
      <c r="D18" s="17"/>
      <c r="E18" s="17"/>
      <c r="F18" s="25"/>
      <c r="G18" s="25">
        <f t="shared" si="0"/>
        <v>0</v>
      </c>
      <c r="H18" s="17"/>
      <c r="I18" s="17" t="s">
        <v>336</v>
      </c>
    </row>
    <row r="19" spans="1:9" x14ac:dyDescent="0.25">
      <c r="A19" s="11"/>
      <c r="B19" s="17"/>
      <c r="C19" s="17"/>
      <c r="D19" s="17"/>
      <c r="E19" s="17"/>
      <c r="F19" s="25"/>
      <c r="G19" s="25">
        <f t="shared" si="0"/>
        <v>0</v>
      </c>
      <c r="H19" s="17"/>
      <c r="I19" s="17" t="s">
        <v>337</v>
      </c>
    </row>
    <row r="20" spans="1:9" x14ac:dyDescent="0.25">
      <c r="A20" s="11"/>
      <c r="B20" s="17"/>
      <c r="C20" s="17"/>
      <c r="D20" s="17"/>
      <c r="E20" s="17"/>
      <c r="F20" s="25"/>
      <c r="G20" s="25">
        <f t="shared" si="0"/>
        <v>0</v>
      </c>
      <c r="H20" s="17"/>
      <c r="I20" s="17" t="s">
        <v>338</v>
      </c>
    </row>
    <row r="21" spans="1:9" x14ac:dyDescent="0.25">
      <c r="A21" s="11"/>
      <c r="B21" s="17"/>
      <c r="C21" s="17"/>
      <c r="D21" s="17"/>
      <c r="E21" s="17"/>
      <c r="F21" s="25"/>
      <c r="G21" s="25">
        <f t="shared" si="0"/>
        <v>0</v>
      </c>
      <c r="H21" s="17"/>
      <c r="I21" s="17" t="s">
        <v>339</v>
      </c>
    </row>
    <row r="22" spans="1:9" x14ac:dyDescent="0.25">
      <c r="A22" s="11"/>
      <c r="B22" s="17"/>
      <c r="C22" s="17"/>
      <c r="D22" s="17"/>
      <c r="E22" s="17"/>
      <c r="F22" s="25"/>
      <c r="G22" s="25">
        <f t="shared" si="0"/>
        <v>0</v>
      </c>
      <c r="H22" s="17"/>
      <c r="I22" s="17" t="s">
        <v>340</v>
      </c>
    </row>
    <row r="23" spans="1:9" x14ac:dyDescent="0.25">
      <c r="A23" s="11"/>
      <c r="B23" s="17"/>
      <c r="C23" s="17"/>
      <c r="D23" s="17"/>
      <c r="E23" s="17"/>
      <c r="F23" s="25"/>
      <c r="G23" s="25">
        <f t="shared" si="0"/>
        <v>0</v>
      </c>
      <c r="H23" s="17"/>
      <c r="I23" s="17" t="s">
        <v>341</v>
      </c>
    </row>
    <row r="24" spans="1:9" x14ac:dyDescent="0.25">
      <c r="A24" s="11"/>
      <c r="B24" s="17"/>
      <c r="C24" s="17"/>
      <c r="D24" s="17"/>
      <c r="E24" s="17"/>
      <c r="F24" s="25"/>
      <c r="G24" s="25">
        <f t="shared" si="0"/>
        <v>0</v>
      </c>
      <c r="H24" s="17"/>
      <c r="I24" s="17" t="s">
        <v>342</v>
      </c>
    </row>
    <row r="25" spans="1:9" x14ac:dyDescent="0.25">
      <c r="A25" s="11"/>
      <c r="B25" s="17"/>
      <c r="C25" s="17"/>
      <c r="D25" s="17"/>
      <c r="E25" s="17"/>
      <c r="F25" s="25"/>
      <c r="G25" s="25">
        <f t="shared" si="0"/>
        <v>0</v>
      </c>
      <c r="H25" s="17"/>
      <c r="I25" s="17" t="s">
        <v>343</v>
      </c>
    </row>
    <row r="26" spans="1:9" x14ac:dyDescent="0.25">
      <c r="A26" s="11"/>
      <c r="B26" s="17"/>
      <c r="C26" s="17"/>
      <c r="D26" s="17"/>
      <c r="E26" s="17"/>
      <c r="F26" s="25"/>
      <c r="G26" s="25">
        <f t="shared" si="0"/>
        <v>0</v>
      </c>
      <c r="H26" s="17"/>
      <c r="I26" s="17" t="s">
        <v>344</v>
      </c>
    </row>
    <row r="27" spans="1:9" x14ac:dyDescent="0.25">
      <c r="A27" s="11"/>
      <c r="B27" s="17"/>
      <c r="C27" s="17"/>
      <c r="D27" s="17"/>
      <c r="E27" s="17"/>
      <c r="F27" s="25"/>
      <c r="G27" s="25">
        <f t="shared" si="0"/>
        <v>0</v>
      </c>
      <c r="H27" s="17"/>
      <c r="I27" s="17" t="s">
        <v>345</v>
      </c>
    </row>
    <row r="28" spans="1:9" x14ac:dyDescent="0.25">
      <c r="A28" s="11"/>
      <c r="B28" s="17"/>
      <c r="C28" s="17"/>
      <c r="D28" s="17"/>
      <c r="E28" s="17"/>
      <c r="F28" s="25"/>
      <c r="G28" s="25">
        <f t="shared" si="0"/>
        <v>0</v>
      </c>
      <c r="H28" s="17"/>
      <c r="I28" s="17" t="s">
        <v>346</v>
      </c>
    </row>
    <row r="29" spans="1:9" x14ac:dyDescent="0.25">
      <c r="A29" s="11"/>
      <c r="B29" s="17"/>
      <c r="C29" s="17"/>
      <c r="D29" s="17"/>
      <c r="E29" s="17"/>
      <c r="F29" s="25"/>
      <c r="G29" s="25">
        <f t="shared" si="0"/>
        <v>0</v>
      </c>
      <c r="H29" s="17"/>
      <c r="I29" s="17" t="s">
        <v>347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si="0"/>
        <v>0</v>
      </c>
      <c r="H30" s="17"/>
      <c r="I30" s="17" t="s">
        <v>348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0"/>
        <v>0</v>
      </c>
      <c r="H31" s="17"/>
      <c r="I31" s="17" t="s">
        <v>349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0"/>
        <v>0</v>
      </c>
      <c r="H32" s="17"/>
      <c r="I32" s="17" t="s">
        <v>350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0"/>
        <v>0</v>
      </c>
      <c r="H33" s="17"/>
      <c r="I33" s="17" t="s">
        <v>351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0"/>
        <v>0</v>
      </c>
      <c r="H34" s="17"/>
      <c r="I34" s="17" t="s">
        <v>352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0"/>
        <v>0</v>
      </c>
      <c r="H35" s="17"/>
      <c r="I35" s="17" t="s">
        <v>353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0"/>
        <v>0</v>
      </c>
      <c r="H36" s="17"/>
      <c r="I36" s="17" t="s">
        <v>354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0"/>
        <v>0</v>
      </c>
      <c r="H37" s="17"/>
      <c r="I37" s="17" t="s">
        <v>355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0"/>
        <v>0</v>
      </c>
      <c r="H38" s="17"/>
      <c r="I38" s="17" t="s">
        <v>356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0"/>
        <v>0</v>
      </c>
      <c r="H39" s="17"/>
      <c r="I39" s="17" t="s">
        <v>357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0"/>
        <v>0</v>
      </c>
      <c r="H40" s="17"/>
      <c r="I40" s="17" t="s">
        <v>358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0"/>
        <v>0</v>
      </c>
      <c r="H41" s="17"/>
      <c r="I41" s="17" t="s">
        <v>359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0"/>
        <v>0</v>
      </c>
      <c r="H42" s="17"/>
      <c r="I42" s="17" t="s">
        <v>360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0"/>
        <v>0</v>
      </c>
      <c r="H43" s="17"/>
      <c r="I43" s="17" t="s">
        <v>361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0"/>
        <v>0</v>
      </c>
      <c r="H44" s="17"/>
      <c r="I44" s="17" t="s">
        <v>362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0"/>
        <v>0</v>
      </c>
      <c r="H45" s="17"/>
      <c r="I45" s="17" t="s">
        <v>363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0"/>
        <v>0</v>
      </c>
      <c r="H46" s="17"/>
      <c r="I46" s="17" t="s">
        <v>364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0"/>
        <v>0</v>
      </c>
      <c r="H47" s="17"/>
      <c r="I47" s="17" t="s">
        <v>365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0"/>
        <v>0</v>
      </c>
      <c r="H48" s="17"/>
      <c r="I48" s="17" t="s">
        <v>366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0"/>
        <v>0</v>
      </c>
      <c r="H49" s="17"/>
      <c r="I49" s="17" t="s">
        <v>367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0"/>
        <v>0</v>
      </c>
      <c r="H50" s="17"/>
      <c r="I50" s="17" t="s">
        <v>368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50">
    <cfRule type="expression" dxfId="20" priority="1">
      <formula>G2&lt;0</formula>
    </cfRule>
    <cfRule type="expression" dxfId="19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700-000000000000}">
          <x14:formula1>
            <xm:f>CATEGORIASCONFIGS!$E$2:$E$24</xm:f>
          </x14:formula1>
          <xm:sqref>E2:E50</xm:sqref>
        </x14:dataValidation>
        <x14:dataValidation type="list" allowBlank="1" showErrorMessage="1" xr:uid="{00000000-0002-0000-0700-000001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700-000002000000}">
          <x14:formula1>
            <xm:f>CATEGORIASCONFIGS!$C$2:$C$5</xm:f>
          </x14:formula1>
          <xm:sqref>D2:D50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M99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21875" hidden="1" customWidth="1"/>
    <col min="8" max="8" width="17.109375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32">
        <v>46143</v>
      </c>
      <c r="B2" s="30" t="s">
        <v>116</v>
      </c>
      <c r="C2" s="30"/>
      <c r="D2" s="30" t="s">
        <v>113</v>
      </c>
      <c r="E2" s="30" t="s">
        <v>142</v>
      </c>
      <c r="F2" s="33">
        <v>126.66</v>
      </c>
      <c r="G2" s="34">
        <f t="shared" ref="G2:G47" si="0">IF(B2="Saída", -ABS(F2), ABS(F2))</f>
        <v>-126.66</v>
      </c>
      <c r="H2" s="30" t="s">
        <v>369</v>
      </c>
      <c r="I2" s="17" t="s">
        <v>370</v>
      </c>
      <c r="J2" s="17" t="s">
        <v>162</v>
      </c>
      <c r="K2" s="25">
        <f>SUMIF(B:B,"Entrada",G:G)</f>
        <v>7076</v>
      </c>
      <c r="AL2" t="s">
        <v>1005</v>
      </c>
      <c r="AM2">
        <f>SUMIFS($F:$F,$X:$X,"Entrada",$Y:$Y,"Receita")+SUMIFS($F:$F,$B:$B,"Entrada",$X:$X,"")</f>
        <v>7076</v>
      </c>
    </row>
    <row r="3" spans="1:39" x14ac:dyDescent="0.25">
      <c r="A3" s="32">
        <v>46143</v>
      </c>
      <c r="B3" s="30" t="s">
        <v>116</v>
      </c>
      <c r="C3" s="30"/>
      <c r="D3" s="30" t="s">
        <v>113</v>
      </c>
      <c r="E3" s="30" t="s">
        <v>143</v>
      </c>
      <c r="F3" s="33">
        <v>35</v>
      </c>
      <c r="G3" s="34">
        <f t="shared" si="0"/>
        <v>-35</v>
      </c>
      <c r="H3" s="30" t="s">
        <v>371</v>
      </c>
      <c r="I3" s="17" t="s">
        <v>372</v>
      </c>
      <c r="J3" s="17" t="s">
        <v>164</v>
      </c>
      <c r="K3" s="25">
        <f>SUMIF(B:B,"Saída",G:G)</f>
        <v>-7070.95</v>
      </c>
      <c r="AL3" t="s">
        <v>1006</v>
      </c>
      <c r="AM3">
        <f>SUMIFS($F:$F,$X:$X,"Saída",$Y:$Y,"Despesa")+SUMIFS($F:$F,$B:$B,"Saída",$X:$X,"",$D:$D,"&lt;&gt;Investimentos",$D:$D,"&lt;&gt;Sonhos")</f>
        <v>5724.95</v>
      </c>
    </row>
    <row r="4" spans="1:39" x14ac:dyDescent="0.25">
      <c r="A4" s="32">
        <v>46143</v>
      </c>
      <c r="B4" s="30" t="s">
        <v>116</v>
      </c>
      <c r="C4" s="30"/>
      <c r="D4" s="30" t="s">
        <v>113</v>
      </c>
      <c r="E4" s="30" t="s">
        <v>131</v>
      </c>
      <c r="F4" s="33">
        <v>26</v>
      </c>
      <c r="G4" s="34">
        <f t="shared" si="0"/>
        <v>-26</v>
      </c>
      <c r="H4" s="30" t="s">
        <v>373</v>
      </c>
      <c r="I4" s="17" t="s">
        <v>374</v>
      </c>
      <c r="J4" s="17" t="s">
        <v>224</v>
      </c>
      <c r="K4" s="25">
        <f>K2 + K3</f>
        <v>5.0500000000001819</v>
      </c>
      <c r="AL4" t="s">
        <v>1007</v>
      </c>
      <c r="AM4">
        <f>SUMIFS($F:$F,$X:$X,"Saída",$Y:$Y,"Despesa",$AB:$AB,"Essencial")+SUMIFS($F:$F,$B:$B,"Saída",$X:$X,"",$D:$D,"Essencial")</f>
        <v>5142.58</v>
      </c>
    </row>
    <row r="5" spans="1:39" x14ac:dyDescent="0.25">
      <c r="A5" s="32">
        <v>46143</v>
      </c>
      <c r="B5" s="30" t="s">
        <v>116</v>
      </c>
      <c r="C5" s="30"/>
      <c r="D5" s="30" t="s">
        <v>117</v>
      </c>
      <c r="E5" s="30" t="s">
        <v>139</v>
      </c>
      <c r="F5" s="33">
        <v>71.7</v>
      </c>
      <c r="G5" s="34">
        <f t="shared" si="0"/>
        <v>-71.7</v>
      </c>
      <c r="H5" s="30" t="s">
        <v>375</v>
      </c>
      <c r="I5" s="17" t="s">
        <v>376</v>
      </c>
      <c r="AL5" t="s">
        <v>1008</v>
      </c>
      <c r="AM5">
        <f>SUMIFS($F:$F,$X:$X,"Saída",$Y:$Y,"Despesa",$AB:$AB,"Não essencial")+SUMIFS($F:$F,$B:$B,"Saída",$X:$X,"",$D:$D,"Não essencial")</f>
        <v>582.37</v>
      </c>
    </row>
    <row r="6" spans="1:39" x14ac:dyDescent="0.25">
      <c r="A6" s="32">
        <v>46144</v>
      </c>
      <c r="B6" s="30" t="s">
        <v>116</v>
      </c>
      <c r="C6" s="30"/>
      <c r="D6" s="30" t="s">
        <v>113</v>
      </c>
      <c r="E6" s="30" t="s">
        <v>139</v>
      </c>
      <c r="F6" s="33">
        <v>42.7</v>
      </c>
      <c r="G6" s="34">
        <f t="shared" si="0"/>
        <v>-42.7</v>
      </c>
      <c r="H6" s="30" t="s">
        <v>377</v>
      </c>
      <c r="I6" s="17" t="s">
        <v>378</v>
      </c>
      <c r="AL6" t="s">
        <v>120</v>
      </c>
      <c r="AM6">
        <f>SUMIFS($F:$F,$X:$X,"Saída",$Y:$Y,"Investimento")+SUMIFS($F:$F,$B:$B,"Saída",$X:$X,"",$D:$D,"Investimentos")</f>
        <v>1346</v>
      </c>
    </row>
    <row r="7" spans="1:39" x14ac:dyDescent="0.25">
      <c r="A7" s="32">
        <v>46145</v>
      </c>
      <c r="B7" s="30" t="s">
        <v>116</v>
      </c>
      <c r="C7" s="30"/>
      <c r="D7" s="30" t="s">
        <v>113</v>
      </c>
      <c r="E7" s="30" t="s">
        <v>139</v>
      </c>
      <c r="F7" s="33">
        <v>72.599999999999994</v>
      </c>
      <c r="G7" s="34">
        <f t="shared" si="0"/>
        <v>-72.599999999999994</v>
      </c>
      <c r="H7" s="30" t="s">
        <v>379</v>
      </c>
      <c r="I7" s="17" t="s">
        <v>380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32">
        <v>46145</v>
      </c>
      <c r="B8" s="30" t="s">
        <v>116</v>
      </c>
      <c r="C8" s="30"/>
      <c r="D8" s="30" t="s">
        <v>117</v>
      </c>
      <c r="E8" s="30" t="s">
        <v>139</v>
      </c>
      <c r="F8" s="33">
        <v>23.98</v>
      </c>
      <c r="G8" s="34">
        <f t="shared" si="0"/>
        <v>-23.98</v>
      </c>
      <c r="H8" s="30" t="s">
        <v>381</v>
      </c>
      <c r="I8" s="17" t="s">
        <v>382</v>
      </c>
      <c r="J8" s="17" t="s">
        <v>113</v>
      </c>
      <c r="K8" s="25">
        <f t="shared" ref="K8:K11" si="1">SUMIF($D:$D, J8, $F:$F)</f>
        <v>5142.58</v>
      </c>
      <c r="M8" s="17" t="s">
        <v>113</v>
      </c>
      <c r="N8" s="25">
        <f>K2*O8</f>
        <v>3184.2000000000003</v>
      </c>
      <c r="O8" s="31">
        <v>0.45</v>
      </c>
      <c r="P8" s="25">
        <f t="shared" ref="P8:P11" si="2">ABS(SUMIF(D:D, M8, F:F))</f>
        <v>5142.58</v>
      </c>
      <c r="Q8" s="25">
        <f t="shared" ref="Q8:Q11" si="3">P8 - N8</f>
        <v>1958.3799999999997</v>
      </c>
      <c r="AL8" t="s">
        <v>1010</v>
      </c>
      <c r="AM8">
        <f>SUMIFS($F:$F,$X:$X,"Entrada")-SUMIFS($F:$F,$X:$X,"Saída")+SUMIFS($F:$F,$B:$B,"Entrada",$X:$X,"")-SUMIFS($F:$F,$B:$B,"Saída",$X:$X,"")</f>
        <v>5.0500000000001819</v>
      </c>
    </row>
    <row r="9" spans="1:39" x14ac:dyDescent="0.25">
      <c r="A9" s="32">
        <v>46145</v>
      </c>
      <c r="B9" s="30" t="s">
        <v>116</v>
      </c>
      <c r="C9" s="30"/>
      <c r="D9" s="30" t="s">
        <v>117</v>
      </c>
      <c r="E9" s="30" t="s">
        <v>139</v>
      </c>
      <c r="F9" s="33">
        <v>78.8</v>
      </c>
      <c r="G9" s="34">
        <f t="shared" si="0"/>
        <v>-78.8</v>
      </c>
      <c r="H9" s="30" t="s">
        <v>383</v>
      </c>
      <c r="I9" s="17" t="s">
        <v>384</v>
      </c>
      <c r="J9" s="17" t="s">
        <v>117</v>
      </c>
      <c r="K9" s="25">
        <f t="shared" si="1"/>
        <v>582.37</v>
      </c>
      <c r="M9" s="17" t="s">
        <v>117</v>
      </c>
      <c r="N9" s="25">
        <f>K2*O9</f>
        <v>1415.2</v>
      </c>
      <c r="O9" s="31">
        <v>0.2</v>
      </c>
      <c r="P9" s="25">
        <f t="shared" si="2"/>
        <v>582.37</v>
      </c>
      <c r="Q9" s="25">
        <f t="shared" si="3"/>
        <v>-832.83</v>
      </c>
    </row>
    <row r="10" spans="1:39" x14ac:dyDescent="0.25">
      <c r="A10" s="32">
        <v>46146</v>
      </c>
      <c r="B10" s="30" t="s">
        <v>116</v>
      </c>
      <c r="C10" s="30"/>
      <c r="D10" s="30" t="s">
        <v>113</v>
      </c>
      <c r="E10" s="30" t="s">
        <v>139</v>
      </c>
      <c r="F10" s="33">
        <v>20</v>
      </c>
      <c r="G10" s="34">
        <f t="shared" si="0"/>
        <v>-20</v>
      </c>
      <c r="H10" s="30" t="s">
        <v>371</v>
      </c>
      <c r="I10" s="17" t="s">
        <v>385</v>
      </c>
      <c r="J10" s="17" t="s">
        <v>120</v>
      </c>
      <c r="K10" s="25">
        <f t="shared" si="1"/>
        <v>1346</v>
      </c>
      <c r="M10" s="17" t="s">
        <v>120</v>
      </c>
      <c r="N10" s="25">
        <f>K2*O10</f>
        <v>2122.7999999999997</v>
      </c>
      <c r="O10" s="31">
        <v>0.3</v>
      </c>
      <c r="P10" s="25">
        <f t="shared" si="2"/>
        <v>1346</v>
      </c>
      <c r="Q10" s="25">
        <f t="shared" si="3"/>
        <v>-776.79999999999973</v>
      </c>
    </row>
    <row r="11" spans="1:39" x14ac:dyDescent="0.25">
      <c r="A11" s="32">
        <v>46147</v>
      </c>
      <c r="B11" s="30" t="s">
        <v>116</v>
      </c>
      <c r="C11" s="30"/>
      <c r="D11" s="30" t="s">
        <v>113</v>
      </c>
      <c r="E11" s="30" t="s">
        <v>139</v>
      </c>
      <c r="F11" s="33">
        <v>20</v>
      </c>
      <c r="G11" s="34">
        <f t="shared" si="0"/>
        <v>-20</v>
      </c>
      <c r="H11" s="30" t="s">
        <v>371</v>
      </c>
      <c r="I11" s="17" t="s">
        <v>386</v>
      </c>
      <c r="J11" s="17" t="s">
        <v>123</v>
      </c>
      <c r="K11" s="25">
        <f t="shared" si="1"/>
        <v>0</v>
      </c>
      <c r="M11" s="17" t="s">
        <v>123</v>
      </c>
      <c r="N11" s="25">
        <f>K2*O11</f>
        <v>353.8</v>
      </c>
      <c r="O11" s="31">
        <v>0.05</v>
      </c>
      <c r="P11" s="25">
        <f t="shared" si="2"/>
        <v>0</v>
      </c>
      <c r="Q11" s="25">
        <f t="shared" si="3"/>
        <v>-353.8</v>
      </c>
    </row>
    <row r="12" spans="1:39" x14ac:dyDescent="0.25">
      <c r="A12" s="32">
        <v>46147</v>
      </c>
      <c r="B12" s="35" t="s">
        <v>116</v>
      </c>
      <c r="C12" s="35"/>
      <c r="D12" s="35" t="s">
        <v>113</v>
      </c>
      <c r="E12" s="35" t="s">
        <v>139</v>
      </c>
      <c r="F12" s="33">
        <v>14</v>
      </c>
      <c r="G12" s="34">
        <f t="shared" si="0"/>
        <v>-14</v>
      </c>
      <c r="H12" s="30" t="s">
        <v>387</v>
      </c>
      <c r="I12" s="17" t="s">
        <v>388</v>
      </c>
    </row>
    <row r="13" spans="1:39" x14ac:dyDescent="0.25">
      <c r="A13" s="32">
        <v>46147</v>
      </c>
      <c r="B13" s="30" t="s">
        <v>116</v>
      </c>
      <c r="C13" s="30"/>
      <c r="D13" s="30" t="s">
        <v>117</v>
      </c>
      <c r="E13" s="30" t="s">
        <v>139</v>
      </c>
      <c r="F13" s="33">
        <v>67.900000000000006</v>
      </c>
      <c r="G13" s="34">
        <f t="shared" si="0"/>
        <v>-67.900000000000006</v>
      </c>
      <c r="H13" s="30" t="s">
        <v>389</v>
      </c>
      <c r="I13" s="17" t="s">
        <v>390</v>
      </c>
    </row>
    <row r="14" spans="1:39" x14ac:dyDescent="0.25">
      <c r="A14" s="32">
        <v>46148</v>
      </c>
      <c r="B14" s="30" t="s">
        <v>116</v>
      </c>
      <c r="C14" s="30"/>
      <c r="D14" s="30" t="s">
        <v>113</v>
      </c>
      <c r="E14" s="30" t="s">
        <v>139</v>
      </c>
      <c r="F14" s="33">
        <v>20</v>
      </c>
      <c r="G14" s="34">
        <f t="shared" si="0"/>
        <v>-20</v>
      </c>
      <c r="H14" s="30" t="s">
        <v>371</v>
      </c>
      <c r="I14" s="17" t="s">
        <v>391</v>
      </c>
    </row>
    <row r="15" spans="1:39" x14ac:dyDescent="0.25">
      <c r="A15" s="32">
        <v>46148</v>
      </c>
      <c r="B15" s="30" t="s">
        <v>116</v>
      </c>
      <c r="C15" s="30"/>
      <c r="D15" s="30" t="s">
        <v>113</v>
      </c>
      <c r="E15" s="30" t="s">
        <v>144</v>
      </c>
      <c r="F15" s="33">
        <v>200</v>
      </c>
      <c r="G15" s="34">
        <f t="shared" si="0"/>
        <v>-200</v>
      </c>
      <c r="H15" s="30" t="s">
        <v>392</v>
      </c>
      <c r="I15" s="17" t="s">
        <v>393</v>
      </c>
    </row>
    <row r="16" spans="1:39" x14ac:dyDescent="0.25">
      <c r="A16" s="32">
        <v>46143</v>
      </c>
      <c r="B16" s="30" t="s">
        <v>116</v>
      </c>
      <c r="C16" s="30"/>
      <c r="D16" s="30" t="s">
        <v>113</v>
      </c>
      <c r="E16" s="30" t="s">
        <v>129</v>
      </c>
      <c r="F16" s="33">
        <v>24.9</v>
      </c>
      <c r="G16" s="34">
        <f t="shared" si="0"/>
        <v>-24.9</v>
      </c>
      <c r="H16" s="30" t="s">
        <v>394</v>
      </c>
      <c r="I16" s="17" t="s">
        <v>395</v>
      </c>
    </row>
    <row r="17" spans="1:9" x14ac:dyDescent="0.25">
      <c r="A17" s="32">
        <v>46143</v>
      </c>
      <c r="B17" s="30" t="s">
        <v>116</v>
      </c>
      <c r="C17" s="30"/>
      <c r="D17" s="30" t="s">
        <v>113</v>
      </c>
      <c r="E17" s="30" t="s">
        <v>131</v>
      </c>
      <c r="F17" s="33">
        <v>399.9</v>
      </c>
      <c r="G17" s="34">
        <f t="shared" si="0"/>
        <v>-399.9</v>
      </c>
      <c r="H17" s="30" t="s">
        <v>396</v>
      </c>
      <c r="I17" s="17" t="s">
        <v>397</v>
      </c>
    </row>
    <row r="18" spans="1:9" x14ac:dyDescent="0.25">
      <c r="A18" s="32">
        <v>46143</v>
      </c>
      <c r="B18" s="30" t="s">
        <v>116</v>
      </c>
      <c r="C18" s="30"/>
      <c r="D18" s="30" t="s">
        <v>113</v>
      </c>
      <c r="E18" s="30"/>
      <c r="F18" s="33">
        <v>294.32</v>
      </c>
      <c r="G18" s="34">
        <f t="shared" si="0"/>
        <v>-294.32</v>
      </c>
      <c r="H18" s="30" t="s">
        <v>398</v>
      </c>
      <c r="I18" s="17" t="s">
        <v>399</v>
      </c>
    </row>
    <row r="19" spans="1:9" x14ac:dyDescent="0.25">
      <c r="A19" s="32">
        <v>46143</v>
      </c>
      <c r="B19" s="30" t="s">
        <v>116</v>
      </c>
      <c r="C19" s="30"/>
      <c r="D19" s="30" t="s">
        <v>113</v>
      </c>
      <c r="E19" s="30"/>
      <c r="F19" s="33">
        <v>1500</v>
      </c>
      <c r="G19" s="34">
        <f t="shared" si="0"/>
        <v>-1500</v>
      </c>
      <c r="H19" s="30" t="s">
        <v>400</v>
      </c>
      <c r="I19" s="17" t="s">
        <v>401</v>
      </c>
    </row>
    <row r="20" spans="1:9" x14ac:dyDescent="0.25">
      <c r="A20" s="32">
        <v>46143</v>
      </c>
      <c r="B20" s="30" t="s">
        <v>116</v>
      </c>
      <c r="C20" s="30"/>
      <c r="D20" s="30" t="s">
        <v>113</v>
      </c>
      <c r="E20" s="30"/>
      <c r="F20" s="33">
        <v>707.68</v>
      </c>
      <c r="G20" s="34">
        <f t="shared" si="0"/>
        <v>-707.68</v>
      </c>
      <c r="H20" s="30" t="s">
        <v>402</v>
      </c>
      <c r="I20" s="17" t="s">
        <v>403</v>
      </c>
    </row>
    <row r="21" spans="1:9" x14ac:dyDescent="0.25">
      <c r="A21" s="32">
        <v>46143</v>
      </c>
      <c r="B21" s="30" t="s">
        <v>116</v>
      </c>
      <c r="C21" s="30"/>
      <c r="D21" s="30" t="s">
        <v>113</v>
      </c>
      <c r="E21" s="30"/>
      <c r="F21" s="33">
        <v>60</v>
      </c>
      <c r="G21" s="34">
        <f t="shared" si="0"/>
        <v>-60</v>
      </c>
      <c r="H21" s="30" t="s">
        <v>404</v>
      </c>
      <c r="I21" s="17" t="s">
        <v>405</v>
      </c>
    </row>
    <row r="22" spans="1:9" x14ac:dyDescent="0.25">
      <c r="A22" s="32">
        <v>46143</v>
      </c>
      <c r="B22" s="30" t="s">
        <v>116</v>
      </c>
      <c r="C22" s="30"/>
      <c r="D22" s="30" t="s">
        <v>113</v>
      </c>
      <c r="E22" s="30"/>
      <c r="F22" s="33">
        <v>281.99</v>
      </c>
      <c r="G22" s="34">
        <f t="shared" si="0"/>
        <v>-281.99</v>
      </c>
      <c r="H22" s="30" t="s">
        <v>406</v>
      </c>
      <c r="I22" s="17" t="s">
        <v>407</v>
      </c>
    </row>
    <row r="23" spans="1:9" x14ac:dyDescent="0.25">
      <c r="A23" s="32">
        <v>46143</v>
      </c>
      <c r="B23" s="30" t="s">
        <v>116</v>
      </c>
      <c r="C23" s="30"/>
      <c r="D23" s="30" t="s">
        <v>113</v>
      </c>
      <c r="E23" s="30"/>
      <c r="F23" s="33">
        <v>250</v>
      </c>
      <c r="G23" s="34">
        <f t="shared" si="0"/>
        <v>-250</v>
      </c>
      <c r="H23" s="30" t="s">
        <v>408</v>
      </c>
      <c r="I23" s="17" t="s">
        <v>409</v>
      </c>
    </row>
    <row r="24" spans="1:9" x14ac:dyDescent="0.25">
      <c r="A24" s="32">
        <v>46143</v>
      </c>
      <c r="B24" s="30" t="s">
        <v>116</v>
      </c>
      <c r="C24" s="30"/>
      <c r="D24" s="30" t="s">
        <v>113</v>
      </c>
      <c r="E24" s="30"/>
      <c r="F24" s="33">
        <v>380.22</v>
      </c>
      <c r="G24" s="34">
        <f t="shared" si="0"/>
        <v>-380.22</v>
      </c>
      <c r="H24" s="30" t="s">
        <v>410</v>
      </c>
      <c r="I24" s="17" t="s">
        <v>411</v>
      </c>
    </row>
    <row r="25" spans="1:9" x14ac:dyDescent="0.25">
      <c r="A25" s="32">
        <v>46149</v>
      </c>
      <c r="B25" s="30" t="s">
        <v>116</v>
      </c>
      <c r="C25" s="30"/>
      <c r="D25" s="30" t="s">
        <v>117</v>
      </c>
      <c r="E25" s="30" t="s">
        <v>139</v>
      </c>
      <c r="F25" s="33">
        <v>8</v>
      </c>
      <c r="G25" s="34">
        <f t="shared" si="0"/>
        <v>-8</v>
      </c>
      <c r="H25" s="30" t="s">
        <v>412</v>
      </c>
      <c r="I25" s="17" t="s">
        <v>413</v>
      </c>
    </row>
    <row r="26" spans="1:9" x14ac:dyDescent="0.25">
      <c r="A26" s="32">
        <v>46150</v>
      </c>
      <c r="B26" s="30" t="s">
        <v>116</v>
      </c>
      <c r="C26" s="30"/>
      <c r="D26" s="30" t="s">
        <v>113</v>
      </c>
      <c r="E26" s="30" t="s">
        <v>139</v>
      </c>
      <c r="F26" s="33">
        <v>212</v>
      </c>
      <c r="G26" s="34">
        <f t="shared" si="0"/>
        <v>-212</v>
      </c>
      <c r="H26" s="30" t="s">
        <v>414</v>
      </c>
      <c r="I26" s="17" t="s">
        <v>415</v>
      </c>
    </row>
    <row r="27" spans="1:9" x14ac:dyDescent="0.25">
      <c r="A27" s="32">
        <v>46150</v>
      </c>
      <c r="B27" s="30" t="s">
        <v>116</v>
      </c>
      <c r="C27" s="30"/>
      <c r="D27" s="30" t="s">
        <v>113</v>
      </c>
      <c r="E27" s="30" t="s">
        <v>139</v>
      </c>
      <c r="F27" s="33">
        <v>20</v>
      </c>
      <c r="G27" s="34">
        <f t="shared" si="0"/>
        <v>-20</v>
      </c>
      <c r="H27" s="30" t="s">
        <v>416</v>
      </c>
      <c r="I27" s="17" t="s">
        <v>417</v>
      </c>
    </row>
    <row r="28" spans="1:9" x14ac:dyDescent="0.25">
      <c r="A28" s="32">
        <v>46153</v>
      </c>
      <c r="B28" s="30" t="s">
        <v>116</v>
      </c>
      <c r="C28" s="30"/>
      <c r="D28" s="30" t="s">
        <v>117</v>
      </c>
      <c r="E28" s="30"/>
      <c r="F28" s="33">
        <v>12</v>
      </c>
      <c r="G28" s="34">
        <f t="shared" si="0"/>
        <v>-12</v>
      </c>
      <c r="H28" s="30" t="s">
        <v>418</v>
      </c>
      <c r="I28" s="17" t="s">
        <v>419</v>
      </c>
    </row>
    <row r="29" spans="1:9" x14ac:dyDescent="0.25">
      <c r="A29" s="32">
        <v>46155</v>
      </c>
      <c r="B29" s="30" t="s">
        <v>116</v>
      </c>
      <c r="C29" s="30"/>
      <c r="D29" s="30" t="s">
        <v>117</v>
      </c>
      <c r="E29" s="30" t="s">
        <v>139</v>
      </c>
      <c r="F29" s="33">
        <v>43</v>
      </c>
      <c r="G29" s="34">
        <f t="shared" si="0"/>
        <v>-43</v>
      </c>
      <c r="H29" s="30" t="s">
        <v>420</v>
      </c>
      <c r="I29" s="17" t="s">
        <v>421</v>
      </c>
    </row>
    <row r="30" spans="1:9" x14ac:dyDescent="0.25">
      <c r="A30" s="32">
        <v>46156</v>
      </c>
      <c r="B30" s="30" t="s">
        <v>116</v>
      </c>
      <c r="C30" s="30"/>
      <c r="D30" s="30" t="s">
        <v>113</v>
      </c>
      <c r="E30" s="30" t="s">
        <v>137</v>
      </c>
      <c r="F30" s="33">
        <v>220</v>
      </c>
      <c r="G30" s="34">
        <f t="shared" si="0"/>
        <v>-220</v>
      </c>
      <c r="H30" s="30" t="s">
        <v>422</v>
      </c>
      <c r="I30" s="17" t="s">
        <v>423</v>
      </c>
    </row>
    <row r="31" spans="1:9" x14ac:dyDescent="0.25">
      <c r="A31" s="32">
        <v>46157</v>
      </c>
      <c r="B31" s="30" t="s">
        <v>116</v>
      </c>
      <c r="C31" s="30"/>
      <c r="D31" s="30" t="s">
        <v>113</v>
      </c>
      <c r="E31" s="30" t="s">
        <v>143</v>
      </c>
      <c r="F31" s="33">
        <v>22</v>
      </c>
      <c r="G31" s="34">
        <f t="shared" si="0"/>
        <v>-22</v>
      </c>
      <c r="H31" s="30" t="s">
        <v>424</v>
      </c>
      <c r="I31" s="17" t="s">
        <v>425</v>
      </c>
    </row>
    <row r="32" spans="1:9" x14ac:dyDescent="0.25">
      <c r="A32" s="32">
        <v>46157</v>
      </c>
      <c r="B32" s="30" t="s">
        <v>116</v>
      </c>
      <c r="C32" s="30"/>
      <c r="D32" s="30" t="s">
        <v>113</v>
      </c>
      <c r="E32" s="30" t="s">
        <v>143</v>
      </c>
      <c r="F32" s="33">
        <v>59.72</v>
      </c>
      <c r="G32" s="34">
        <f t="shared" si="0"/>
        <v>-59.72</v>
      </c>
      <c r="H32" s="30" t="s">
        <v>426</v>
      </c>
      <c r="I32" s="17" t="s">
        <v>427</v>
      </c>
    </row>
    <row r="33" spans="1:9" x14ac:dyDescent="0.25">
      <c r="A33" s="32">
        <v>46157</v>
      </c>
      <c r="B33" s="30" t="s">
        <v>116</v>
      </c>
      <c r="C33" s="30"/>
      <c r="D33" s="30" t="s">
        <v>117</v>
      </c>
      <c r="E33" s="30" t="s">
        <v>143</v>
      </c>
      <c r="F33" s="33">
        <v>5</v>
      </c>
      <c r="G33" s="34">
        <f t="shared" si="0"/>
        <v>-5</v>
      </c>
      <c r="H33" s="30" t="s">
        <v>428</v>
      </c>
      <c r="I33" s="17" t="s">
        <v>429</v>
      </c>
    </row>
    <row r="34" spans="1:9" x14ac:dyDescent="0.25">
      <c r="A34" s="32">
        <v>46159</v>
      </c>
      <c r="B34" s="30" t="s">
        <v>116</v>
      </c>
      <c r="C34" s="30"/>
      <c r="D34" s="30" t="s">
        <v>113</v>
      </c>
      <c r="E34" s="30" t="s">
        <v>150</v>
      </c>
      <c r="F34" s="33">
        <v>32.4</v>
      </c>
      <c r="G34" s="34">
        <f t="shared" si="0"/>
        <v>-32.4</v>
      </c>
      <c r="H34" s="30" t="s">
        <v>430</v>
      </c>
      <c r="I34" s="17" t="s">
        <v>431</v>
      </c>
    </row>
    <row r="35" spans="1:9" x14ac:dyDescent="0.25">
      <c r="A35" s="32">
        <v>46164</v>
      </c>
      <c r="B35" s="30" t="s">
        <v>116</v>
      </c>
      <c r="C35" s="30"/>
      <c r="D35" s="30" t="s">
        <v>117</v>
      </c>
      <c r="E35" s="30" t="s">
        <v>139</v>
      </c>
      <c r="F35" s="33">
        <v>19.989999999999998</v>
      </c>
      <c r="G35" s="34">
        <f t="shared" si="0"/>
        <v>-19.989999999999998</v>
      </c>
      <c r="H35" s="30" t="s">
        <v>432</v>
      </c>
      <c r="I35" s="17" t="s">
        <v>433</v>
      </c>
    </row>
    <row r="36" spans="1:9" x14ac:dyDescent="0.25">
      <c r="A36" s="32">
        <v>46164</v>
      </c>
      <c r="B36" s="30" t="s">
        <v>116</v>
      </c>
      <c r="C36" s="30"/>
      <c r="D36" s="30" t="s">
        <v>117</v>
      </c>
      <c r="E36" s="30" t="s">
        <v>139</v>
      </c>
      <c r="F36" s="33">
        <v>71</v>
      </c>
      <c r="G36" s="34">
        <f t="shared" si="0"/>
        <v>-71</v>
      </c>
      <c r="H36" s="30" t="s">
        <v>432</v>
      </c>
      <c r="I36" s="17" t="s">
        <v>434</v>
      </c>
    </row>
    <row r="37" spans="1:9" x14ac:dyDescent="0.25">
      <c r="A37" s="32">
        <v>46165</v>
      </c>
      <c r="B37" s="30" t="s">
        <v>116</v>
      </c>
      <c r="C37" s="30"/>
      <c r="D37" s="30" t="s">
        <v>113</v>
      </c>
      <c r="E37" s="30" t="s">
        <v>139</v>
      </c>
      <c r="F37" s="33">
        <v>35.5</v>
      </c>
      <c r="G37" s="34">
        <f t="shared" si="0"/>
        <v>-35.5</v>
      </c>
      <c r="H37" s="30" t="s">
        <v>383</v>
      </c>
      <c r="I37" s="17" t="s">
        <v>435</v>
      </c>
    </row>
    <row r="38" spans="1:9" x14ac:dyDescent="0.25">
      <c r="A38" s="32">
        <v>46166</v>
      </c>
      <c r="B38" s="30" t="s">
        <v>116</v>
      </c>
      <c r="C38" s="30"/>
      <c r="D38" s="30" t="s">
        <v>117</v>
      </c>
      <c r="E38" s="30" t="s">
        <v>154</v>
      </c>
      <c r="F38" s="33">
        <v>23.94</v>
      </c>
      <c r="G38" s="34">
        <f t="shared" si="0"/>
        <v>-23.94</v>
      </c>
      <c r="H38" s="30" t="s">
        <v>436</v>
      </c>
      <c r="I38" s="17" t="s">
        <v>437</v>
      </c>
    </row>
    <row r="39" spans="1:9" x14ac:dyDescent="0.25">
      <c r="A39" s="32">
        <v>46166</v>
      </c>
      <c r="B39" s="30" t="s">
        <v>116</v>
      </c>
      <c r="C39" s="30"/>
      <c r="D39" s="30" t="s">
        <v>117</v>
      </c>
      <c r="E39" s="30" t="s">
        <v>139</v>
      </c>
      <c r="F39" s="33">
        <v>9</v>
      </c>
      <c r="G39" s="34">
        <f t="shared" si="0"/>
        <v>-9</v>
      </c>
      <c r="H39" s="30" t="s">
        <v>438</v>
      </c>
      <c r="I39" s="17" t="s">
        <v>439</v>
      </c>
    </row>
    <row r="40" spans="1:9" x14ac:dyDescent="0.25">
      <c r="A40" s="32">
        <v>46166</v>
      </c>
      <c r="B40" s="30" t="s">
        <v>116</v>
      </c>
      <c r="C40" s="30"/>
      <c r="D40" s="30" t="s">
        <v>117</v>
      </c>
      <c r="E40" s="30" t="s">
        <v>139</v>
      </c>
      <c r="F40" s="33">
        <v>148.06</v>
      </c>
      <c r="G40" s="34">
        <f t="shared" si="0"/>
        <v>-148.06</v>
      </c>
      <c r="H40" s="30" t="s">
        <v>383</v>
      </c>
      <c r="I40" s="17" t="s">
        <v>440</v>
      </c>
    </row>
    <row r="41" spans="1:9" x14ac:dyDescent="0.25">
      <c r="A41" s="32">
        <v>46167</v>
      </c>
      <c r="B41" s="30" t="s">
        <v>116</v>
      </c>
      <c r="C41" s="30"/>
      <c r="D41" s="30" t="s">
        <v>113</v>
      </c>
      <c r="E41" s="30" t="s">
        <v>137</v>
      </c>
      <c r="F41" s="33">
        <v>25</v>
      </c>
      <c r="G41" s="34">
        <f t="shared" si="0"/>
        <v>-25</v>
      </c>
      <c r="H41" s="30" t="s">
        <v>441</v>
      </c>
      <c r="I41" s="17" t="s">
        <v>442</v>
      </c>
    </row>
    <row r="42" spans="1:9" x14ac:dyDescent="0.25">
      <c r="A42" s="32">
        <v>46170</v>
      </c>
      <c r="B42" s="30" t="s">
        <v>116</v>
      </c>
      <c r="C42" s="30"/>
      <c r="D42" s="30" t="s">
        <v>113</v>
      </c>
      <c r="E42" s="30" t="s">
        <v>138</v>
      </c>
      <c r="F42" s="33">
        <v>39.99</v>
      </c>
      <c r="G42" s="34">
        <f t="shared" si="0"/>
        <v>-39.99</v>
      </c>
      <c r="H42" s="30" t="s">
        <v>443</v>
      </c>
      <c r="I42" s="17" t="s">
        <v>444</v>
      </c>
    </row>
    <row r="43" spans="1:9" x14ac:dyDescent="0.25">
      <c r="A43" s="32">
        <v>46173</v>
      </c>
      <c r="B43" s="30" t="s">
        <v>116</v>
      </c>
      <c r="C43" s="30"/>
      <c r="D43" s="30" t="s">
        <v>120</v>
      </c>
      <c r="E43" s="30"/>
      <c r="F43" s="33">
        <v>1346</v>
      </c>
      <c r="G43" s="34">
        <f t="shared" si="0"/>
        <v>-1346</v>
      </c>
      <c r="H43" s="30" t="s">
        <v>445</v>
      </c>
      <c r="I43" s="17" t="s">
        <v>446</v>
      </c>
    </row>
    <row r="44" spans="1:9" x14ac:dyDescent="0.25">
      <c r="A44" s="36"/>
      <c r="B44" s="30"/>
      <c r="C44" s="30"/>
      <c r="D44" s="30"/>
      <c r="E44" s="30"/>
      <c r="F44" s="37"/>
      <c r="G44" s="33">
        <f t="shared" si="0"/>
        <v>0</v>
      </c>
      <c r="H44" s="30"/>
      <c r="I44" s="17" t="s">
        <v>447</v>
      </c>
    </row>
    <row r="45" spans="1:9" x14ac:dyDescent="0.25">
      <c r="A45" s="36"/>
      <c r="B45" s="30"/>
      <c r="C45" s="30"/>
      <c r="D45" s="30"/>
      <c r="E45" s="30"/>
      <c r="F45" s="37"/>
      <c r="G45" s="33">
        <f t="shared" si="0"/>
        <v>0</v>
      </c>
      <c r="H45" s="30"/>
      <c r="I45" s="17" t="s">
        <v>448</v>
      </c>
    </row>
    <row r="46" spans="1:9" x14ac:dyDescent="0.25">
      <c r="A46" s="36"/>
      <c r="B46" s="30"/>
      <c r="C46" s="30"/>
      <c r="D46" s="30"/>
      <c r="E46" s="30"/>
      <c r="F46" s="37"/>
      <c r="G46" s="33">
        <f t="shared" si="0"/>
        <v>0</v>
      </c>
      <c r="H46" s="30"/>
      <c r="I46" s="17" t="s">
        <v>449</v>
      </c>
    </row>
    <row r="47" spans="1:9" x14ac:dyDescent="0.25">
      <c r="A47" s="32">
        <v>46178</v>
      </c>
      <c r="B47" s="30" t="s">
        <v>112</v>
      </c>
      <c r="C47" s="30"/>
      <c r="D47" s="30"/>
      <c r="E47" s="30"/>
      <c r="F47" s="33">
        <v>7076</v>
      </c>
      <c r="G47" s="38">
        <f t="shared" si="0"/>
        <v>7076</v>
      </c>
      <c r="H47" s="30"/>
      <c r="I47" s="17" t="s">
        <v>450</v>
      </c>
    </row>
    <row r="48" spans="1:9" x14ac:dyDescent="0.25">
      <c r="A48" s="17"/>
      <c r="B48" s="17"/>
      <c r="C48" s="17"/>
      <c r="D48" s="17"/>
      <c r="E48" s="17"/>
      <c r="F48" s="17"/>
      <c r="G48" s="17"/>
      <c r="H48" s="17"/>
      <c r="I48" s="17"/>
    </row>
    <row r="49" spans="1:9" x14ac:dyDescent="0.25">
      <c r="A49" s="17"/>
      <c r="B49" s="17"/>
      <c r="C49" s="17"/>
      <c r="D49" s="17"/>
      <c r="E49" s="17"/>
      <c r="F49" s="17"/>
      <c r="G49" s="17"/>
      <c r="H49" s="17"/>
      <c r="I49" s="17"/>
    </row>
    <row r="50" spans="1:9" x14ac:dyDescent="0.25">
      <c r="A50" s="17"/>
      <c r="B50" s="17"/>
      <c r="C50" s="17"/>
      <c r="D50" s="17"/>
      <c r="E50" s="17"/>
      <c r="F50" s="17"/>
      <c r="G50" s="17"/>
      <c r="H50" s="17"/>
      <c r="I50" s="17"/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</sheetData>
  <conditionalFormatting sqref="G2:G47">
    <cfRule type="expression" dxfId="18" priority="1">
      <formula>G2&lt;0</formula>
    </cfRule>
    <cfRule type="expression" dxfId="17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800-000000000000}">
          <x14:formula1>
            <xm:f>CATEGORIASCONFIGS!$E$2:$E$24</xm:f>
          </x14:formula1>
          <xm:sqref>E2:E47</xm:sqref>
        </x14:dataValidation>
        <x14:dataValidation type="list" allowBlank="1" showErrorMessage="1" xr:uid="{00000000-0002-0000-0800-000001000000}">
          <x14:formula1>
            <xm:f>CATEGORIASCONFIGS!$A$2:$A$4</xm:f>
          </x14:formula1>
          <xm:sqref>B2:B47</xm:sqref>
        </x14:dataValidation>
        <x14:dataValidation type="list" allowBlank="1" showErrorMessage="1" xr:uid="{00000000-0002-0000-0800-000002000000}">
          <x14:formula1>
            <xm:f>CATEGORIASCONFIGS!$C$2:$C$5</xm:f>
          </x14:formula1>
          <xm:sqref>D2:D47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8" max="8" width="17.6640625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/>
      <c r="B2" s="17"/>
      <c r="C2" s="17"/>
      <c r="D2" s="17"/>
      <c r="E2" s="17"/>
      <c r="F2" s="25"/>
      <c r="G2" s="25"/>
      <c r="H2" s="17"/>
      <c r="I2" s="17" t="s">
        <v>451</v>
      </c>
      <c r="J2" s="17" t="s">
        <v>162</v>
      </c>
      <c r="K2" s="25">
        <f>SUMIF(B:B,"Entrada",G:G)</f>
        <v>7076</v>
      </c>
      <c r="AL2" t="s">
        <v>1005</v>
      </c>
      <c r="AM2">
        <f>SUMIFS($F:$F,$X:$X,"Entrada",$Y:$Y,"Receita")+SUMIFS($F:$F,$B:$B,"Entrada",$X:$X,"")</f>
        <v>7076</v>
      </c>
    </row>
    <row r="3" spans="1:39" x14ac:dyDescent="0.25">
      <c r="A3" s="11"/>
      <c r="B3" s="17"/>
      <c r="C3" s="17"/>
      <c r="D3" s="17"/>
      <c r="E3" s="17"/>
      <c r="F3" s="25"/>
      <c r="G3" s="25"/>
      <c r="H3" s="17"/>
      <c r="I3" s="17" t="s">
        <v>452</v>
      </c>
      <c r="J3" s="17" t="s">
        <v>164</v>
      </c>
      <c r="K3" s="25">
        <f>SUMIF(B:B,"Saída",G:G)</f>
        <v>0</v>
      </c>
      <c r="AL3" t="s">
        <v>1006</v>
      </c>
      <c r="AM3">
        <f>SUMIFS($F:$F,$X:$X,"Saída",$Y:$Y,"Despesa")+SUMIFS($F:$F,$B:$B,"Saída",$X:$X,"",$D:$D,"&lt;&gt;Investimentos",$D:$D,"&lt;&gt;Sonhos")</f>
        <v>0</v>
      </c>
    </row>
    <row r="4" spans="1:39" x14ac:dyDescent="0.25">
      <c r="A4" s="11"/>
      <c r="B4" s="17"/>
      <c r="C4" s="17"/>
      <c r="D4" s="17"/>
      <c r="E4" s="17"/>
      <c r="F4" s="25"/>
      <c r="G4" s="25"/>
      <c r="H4" s="17"/>
      <c r="I4" s="17" t="s">
        <v>453</v>
      </c>
      <c r="J4" s="17" t="s">
        <v>224</v>
      </c>
      <c r="K4" s="25">
        <f>K2 + K3</f>
        <v>7076</v>
      </c>
      <c r="AL4" t="s">
        <v>1007</v>
      </c>
      <c r="AM4">
        <f>SUMIFS($F:$F,$X:$X,"Saída",$Y:$Y,"Despesa",$AB:$AB,"Essencial")+SUMIFS($F:$F,$B:$B,"Saída",$X:$X,"",$D:$D,"Essencial")</f>
        <v>0</v>
      </c>
    </row>
    <row r="5" spans="1:39" x14ac:dyDescent="0.25">
      <c r="A5" s="11"/>
      <c r="B5" s="17"/>
      <c r="C5" s="17"/>
      <c r="D5" s="17"/>
      <c r="E5" s="17"/>
      <c r="F5" s="25"/>
      <c r="G5" s="25"/>
      <c r="H5" s="17"/>
      <c r="I5" s="17" t="s">
        <v>454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/>
      <c r="H6" s="17"/>
      <c r="I6" s="17" t="s">
        <v>455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/>
      <c r="H7" s="17"/>
      <c r="I7" s="17" t="s">
        <v>456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/>
      <c r="H8" s="17"/>
      <c r="I8" s="17" t="s">
        <v>457</v>
      </c>
      <c r="J8" s="17" t="s">
        <v>113</v>
      </c>
      <c r="K8" s="25">
        <f t="shared" ref="K8:K11" si="0">SUMIF($D:$D, J8, $F:$F)</f>
        <v>0</v>
      </c>
      <c r="M8" s="17" t="s">
        <v>113</v>
      </c>
      <c r="N8" s="25">
        <f>K2*O8</f>
        <v>3184.2000000000003</v>
      </c>
      <c r="O8" s="31">
        <v>0.45</v>
      </c>
      <c r="P8" s="25">
        <f t="shared" ref="P8:P11" si="1">ABS(SUMIF(D:D, M8, F:F))</f>
        <v>0</v>
      </c>
      <c r="Q8" s="25">
        <f t="shared" ref="Q8:Q11" si="2">P8 - N8</f>
        <v>-3184.2000000000003</v>
      </c>
      <c r="AL8" t="s">
        <v>1010</v>
      </c>
      <c r="AM8">
        <f>SUMIFS($F:$F,$X:$X,"Entrada")-SUMIFS($F:$F,$X:$X,"Saída")+SUMIFS($F:$F,$B:$B,"Entrada",$X:$X,"")-SUMIFS($F:$F,$B:$B,"Saída",$X:$X,"")</f>
        <v>7076</v>
      </c>
    </row>
    <row r="9" spans="1:39" x14ac:dyDescent="0.25">
      <c r="A9" s="11"/>
      <c r="B9" s="17"/>
      <c r="C9" s="17"/>
      <c r="D9" s="17"/>
      <c r="E9" s="17"/>
      <c r="F9" s="25"/>
      <c r="G9" s="25"/>
      <c r="H9" s="17"/>
      <c r="I9" s="17" t="s">
        <v>458</v>
      </c>
      <c r="J9" s="17" t="s">
        <v>117</v>
      </c>
      <c r="K9" s="25">
        <f t="shared" si="0"/>
        <v>0</v>
      </c>
      <c r="M9" s="17" t="s">
        <v>117</v>
      </c>
      <c r="N9" s="25">
        <f>K2*O9</f>
        <v>1415.2</v>
      </c>
      <c r="O9" s="31">
        <v>0.2</v>
      </c>
      <c r="P9" s="25">
        <f t="shared" si="1"/>
        <v>0</v>
      </c>
      <c r="Q9" s="25">
        <f t="shared" si="2"/>
        <v>-1415.2</v>
      </c>
    </row>
    <row r="10" spans="1:39" x14ac:dyDescent="0.25">
      <c r="A10" s="11"/>
      <c r="B10" s="17"/>
      <c r="C10" s="17"/>
      <c r="D10" s="17"/>
      <c r="E10" s="17"/>
      <c r="F10" s="25"/>
      <c r="G10" s="25"/>
      <c r="H10" s="17"/>
      <c r="I10" s="17" t="s">
        <v>459</v>
      </c>
      <c r="J10" s="17" t="s">
        <v>120</v>
      </c>
      <c r="K10" s="25">
        <f t="shared" si="0"/>
        <v>0</v>
      </c>
      <c r="M10" s="17" t="s">
        <v>120</v>
      </c>
      <c r="N10" s="25">
        <f>K2*O10</f>
        <v>2122.7999999999997</v>
      </c>
      <c r="O10" s="31">
        <v>0.3</v>
      </c>
      <c r="P10" s="25">
        <f t="shared" si="1"/>
        <v>0</v>
      </c>
      <c r="Q10" s="25">
        <f t="shared" si="2"/>
        <v>-2122.7999999999997</v>
      </c>
    </row>
    <row r="11" spans="1:39" x14ac:dyDescent="0.25">
      <c r="A11" s="11"/>
      <c r="B11" s="17"/>
      <c r="C11" s="17"/>
      <c r="D11" s="17"/>
      <c r="E11" s="17"/>
      <c r="F11" s="25"/>
      <c r="G11" s="25"/>
      <c r="H11" s="17"/>
      <c r="I11" s="17" t="s">
        <v>460</v>
      </c>
      <c r="J11" s="17" t="s">
        <v>123</v>
      </c>
      <c r="K11" s="25">
        <f t="shared" si="0"/>
        <v>0</v>
      </c>
      <c r="M11" s="17" t="s">
        <v>123</v>
      </c>
      <c r="N11" s="25">
        <f>K2*O11</f>
        <v>353.8</v>
      </c>
      <c r="O11" s="31">
        <v>0.05</v>
      </c>
      <c r="P11" s="25">
        <f t="shared" si="1"/>
        <v>0</v>
      </c>
      <c r="Q11" s="25">
        <f t="shared" si="2"/>
        <v>-353.8</v>
      </c>
    </row>
    <row r="12" spans="1:39" x14ac:dyDescent="0.25">
      <c r="A12" s="11"/>
      <c r="B12" s="17"/>
      <c r="C12" s="17"/>
      <c r="D12" s="17"/>
      <c r="E12" s="17"/>
      <c r="F12" s="25"/>
      <c r="G12" s="25"/>
      <c r="H12" s="17"/>
      <c r="I12" s="17" t="s">
        <v>461</v>
      </c>
    </row>
    <row r="13" spans="1:39" x14ac:dyDescent="0.25">
      <c r="A13" s="11"/>
      <c r="B13" s="17"/>
      <c r="C13" s="17"/>
      <c r="D13" s="17"/>
      <c r="E13" s="17"/>
      <c r="F13" s="25"/>
      <c r="G13" s="25"/>
      <c r="H13" s="17"/>
      <c r="I13" s="17" t="s">
        <v>462</v>
      </c>
    </row>
    <row r="14" spans="1:39" x14ac:dyDescent="0.25">
      <c r="A14" s="11"/>
      <c r="B14" s="17"/>
      <c r="C14" s="17"/>
      <c r="D14" s="17"/>
      <c r="E14" s="17"/>
      <c r="F14" s="25"/>
      <c r="G14" s="25"/>
      <c r="H14" s="17"/>
      <c r="I14" s="17" t="s">
        <v>463</v>
      </c>
    </row>
    <row r="15" spans="1:39" x14ac:dyDescent="0.25">
      <c r="A15" s="11"/>
      <c r="B15" s="17"/>
      <c r="C15" s="17"/>
      <c r="D15" s="17"/>
      <c r="E15" s="17"/>
      <c r="F15" s="25"/>
      <c r="G15" s="25"/>
      <c r="H15" s="17"/>
      <c r="I15" s="17" t="s">
        <v>464</v>
      </c>
    </row>
    <row r="16" spans="1:39" x14ac:dyDescent="0.25">
      <c r="A16" s="11"/>
      <c r="B16" s="17"/>
      <c r="C16" s="17"/>
      <c r="D16" s="17"/>
      <c r="E16" s="17"/>
      <c r="F16" s="25"/>
      <c r="G16" s="25"/>
      <c r="H16" s="17"/>
      <c r="I16" s="17" t="s">
        <v>465</v>
      </c>
    </row>
    <row r="17" spans="1:9" x14ac:dyDescent="0.25">
      <c r="A17" s="11"/>
      <c r="B17" s="17"/>
      <c r="C17" s="17"/>
      <c r="D17" s="17"/>
      <c r="E17" s="17"/>
      <c r="F17" s="25"/>
      <c r="G17" s="25"/>
      <c r="H17" s="17"/>
      <c r="I17" s="17" t="s">
        <v>466</v>
      </c>
    </row>
    <row r="18" spans="1:9" x14ac:dyDescent="0.25">
      <c r="A18" s="11"/>
      <c r="B18" s="17"/>
      <c r="C18" s="17"/>
      <c r="D18" s="17"/>
      <c r="E18" s="17"/>
      <c r="F18" s="25"/>
      <c r="G18" s="25"/>
      <c r="H18" s="17"/>
      <c r="I18" s="17" t="s">
        <v>467</v>
      </c>
    </row>
    <row r="19" spans="1:9" x14ac:dyDescent="0.25">
      <c r="A19" s="11"/>
      <c r="B19" s="17"/>
      <c r="C19" s="17"/>
      <c r="D19" s="17"/>
      <c r="E19" s="17"/>
      <c r="F19" s="25"/>
      <c r="G19" s="25"/>
      <c r="H19" s="17"/>
      <c r="I19" s="17" t="s">
        <v>468</v>
      </c>
    </row>
    <row r="20" spans="1:9" x14ac:dyDescent="0.25">
      <c r="A20" s="11"/>
      <c r="B20" s="17"/>
      <c r="C20" s="17"/>
      <c r="D20" s="17"/>
      <c r="E20" s="17"/>
      <c r="F20" s="25"/>
      <c r="G20" s="25"/>
      <c r="H20" s="17"/>
      <c r="I20" s="17" t="s">
        <v>469</v>
      </c>
    </row>
    <row r="21" spans="1:9" x14ac:dyDescent="0.25">
      <c r="A21" s="11"/>
      <c r="B21" s="17"/>
      <c r="C21" s="17"/>
      <c r="D21" s="17"/>
      <c r="E21" s="17"/>
      <c r="F21" s="25"/>
      <c r="G21" s="25"/>
      <c r="H21" s="17"/>
      <c r="I21" s="17" t="s">
        <v>470</v>
      </c>
    </row>
    <row r="22" spans="1:9" x14ac:dyDescent="0.25">
      <c r="A22" s="11"/>
      <c r="B22" s="17"/>
      <c r="C22" s="17"/>
      <c r="D22" s="17"/>
      <c r="E22" s="17"/>
      <c r="F22" s="25"/>
      <c r="G22" s="25"/>
      <c r="H22" s="17"/>
      <c r="I22" s="17" t="s">
        <v>471</v>
      </c>
    </row>
    <row r="23" spans="1:9" x14ac:dyDescent="0.25">
      <c r="A23" s="11"/>
      <c r="B23" s="17"/>
      <c r="C23" s="17"/>
      <c r="D23" s="17"/>
      <c r="E23" s="17"/>
      <c r="F23" s="25"/>
      <c r="G23" s="25"/>
      <c r="H23" s="17"/>
      <c r="I23" s="17" t="s">
        <v>472</v>
      </c>
    </row>
    <row r="24" spans="1:9" x14ac:dyDescent="0.25">
      <c r="A24" s="11"/>
      <c r="B24" s="17"/>
      <c r="C24" s="17"/>
      <c r="D24" s="17"/>
      <c r="E24" s="17"/>
      <c r="F24" s="25"/>
      <c r="G24" s="25"/>
      <c r="H24" s="17"/>
      <c r="I24" s="17" t="s">
        <v>473</v>
      </c>
    </row>
    <row r="25" spans="1:9" x14ac:dyDescent="0.25">
      <c r="A25" s="11"/>
      <c r="B25" s="17"/>
      <c r="C25" s="17"/>
      <c r="D25" s="17"/>
      <c r="E25" s="17"/>
      <c r="F25" s="25"/>
      <c r="G25" s="25"/>
      <c r="H25" s="17"/>
      <c r="I25" s="17" t="s">
        <v>474</v>
      </c>
    </row>
    <row r="26" spans="1:9" x14ac:dyDescent="0.25">
      <c r="A26" s="11"/>
      <c r="B26" s="17"/>
      <c r="C26" s="17"/>
      <c r="D26" s="17"/>
      <c r="E26" s="17"/>
      <c r="F26" s="25"/>
      <c r="G26" s="25"/>
      <c r="H26" s="17"/>
      <c r="I26" s="17" t="s">
        <v>475</v>
      </c>
    </row>
    <row r="27" spans="1:9" x14ac:dyDescent="0.25">
      <c r="A27" s="11"/>
      <c r="B27" s="17"/>
      <c r="C27" s="17"/>
      <c r="D27" s="17"/>
      <c r="E27" s="17"/>
      <c r="F27" s="25"/>
      <c r="G27" s="25"/>
      <c r="H27" s="17"/>
      <c r="I27" s="17" t="s">
        <v>476</v>
      </c>
    </row>
    <row r="28" spans="1:9" x14ac:dyDescent="0.25">
      <c r="A28" s="11"/>
      <c r="B28" s="17"/>
      <c r="C28" s="17"/>
      <c r="D28" s="17"/>
      <c r="E28" s="17"/>
      <c r="F28" s="25"/>
      <c r="G28" s="25"/>
      <c r="H28" s="17"/>
      <c r="I28" s="17" t="s">
        <v>477</v>
      </c>
    </row>
    <row r="29" spans="1:9" x14ac:dyDescent="0.25">
      <c r="A29" s="11"/>
      <c r="B29" s="17"/>
      <c r="C29" s="17"/>
      <c r="D29" s="17"/>
      <c r="E29" s="17"/>
      <c r="F29" s="25"/>
      <c r="G29" s="25"/>
      <c r="H29" s="17"/>
      <c r="I29" s="17" t="s">
        <v>478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ref="G30:G50" si="3">IF(B30="Saída", -ABS(F30), ABS(F30))</f>
        <v>0</v>
      </c>
      <c r="H30" s="17"/>
      <c r="I30" s="17" t="s">
        <v>479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3"/>
        <v>0</v>
      </c>
      <c r="H31" s="17"/>
      <c r="I31" s="17" t="s">
        <v>480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3"/>
        <v>0</v>
      </c>
      <c r="H32" s="17"/>
      <c r="I32" s="17" t="s">
        <v>481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3"/>
        <v>0</v>
      </c>
      <c r="H33" s="17"/>
      <c r="I33" s="17" t="s">
        <v>482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3"/>
        <v>0</v>
      </c>
      <c r="H34" s="17"/>
      <c r="I34" s="17" t="s">
        <v>483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3"/>
        <v>0</v>
      </c>
      <c r="H35" s="17"/>
      <c r="I35" s="17" t="s">
        <v>484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3"/>
        <v>0</v>
      </c>
      <c r="H36" s="17"/>
      <c r="I36" s="17" t="s">
        <v>485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3"/>
        <v>0</v>
      </c>
      <c r="H37" s="17"/>
      <c r="I37" s="17" t="s">
        <v>486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3"/>
        <v>0</v>
      </c>
      <c r="H38" s="17"/>
      <c r="I38" s="17" t="s">
        <v>487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3"/>
        <v>0</v>
      </c>
      <c r="H39" s="17"/>
      <c r="I39" s="17" t="s">
        <v>488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3"/>
        <v>0</v>
      </c>
      <c r="H40" s="17"/>
      <c r="I40" s="17" t="s">
        <v>489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3"/>
        <v>0</v>
      </c>
      <c r="H41" s="17"/>
      <c r="I41" s="17" t="s">
        <v>490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3"/>
        <v>0</v>
      </c>
      <c r="H42" s="17"/>
      <c r="I42" s="17" t="s">
        <v>491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3"/>
        <v>0</v>
      </c>
      <c r="H43" s="17"/>
      <c r="I43" s="17" t="s">
        <v>492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3"/>
        <v>0</v>
      </c>
      <c r="H44" s="17"/>
      <c r="I44" s="17" t="s">
        <v>493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3"/>
        <v>0</v>
      </c>
      <c r="H45" s="17"/>
      <c r="I45" s="17" t="s">
        <v>494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3"/>
        <v>0</v>
      </c>
      <c r="H46" s="17"/>
      <c r="I46" s="17" t="s">
        <v>495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3"/>
        <v>0</v>
      </c>
      <c r="H47" s="17"/>
      <c r="I47" s="17" t="s">
        <v>496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3"/>
        <v>0</v>
      </c>
      <c r="H48" s="17"/>
      <c r="I48" s="17" t="s">
        <v>497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3"/>
        <v>0</v>
      </c>
      <c r="H49" s="17"/>
      <c r="I49" s="17" t="s">
        <v>498</v>
      </c>
    </row>
    <row r="50" spans="1:9" x14ac:dyDescent="0.25">
      <c r="A50" s="17"/>
      <c r="B50" s="17" t="s">
        <v>112</v>
      </c>
      <c r="C50" s="17"/>
      <c r="D50" s="17"/>
      <c r="E50" s="17"/>
      <c r="F50" s="25">
        <v>7076</v>
      </c>
      <c r="G50" s="25">
        <f t="shared" si="3"/>
        <v>7076</v>
      </c>
      <c r="H50" s="17"/>
      <c r="I50" s="17" t="s">
        <v>499</v>
      </c>
    </row>
    <row r="51" spans="1:9" x14ac:dyDescent="0.25">
      <c r="A51" s="17"/>
      <c r="B51" s="17"/>
      <c r="C51" s="17"/>
      <c r="D51" s="17"/>
      <c r="E51" s="17"/>
      <c r="F51" s="17"/>
      <c r="G51" s="17"/>
      <c r="H51" s="17"/>
      <c r="I51" s="17"/>
    </row>
    <row r="52" spans="1:9" x14ac:dyDescent="0.25">
      <c r="A52" s="17"/>
      <c r="B52" s="17"/>
      <c r="C52" s="17"/>
      <c r="D52" s="17"/>
      <c r="E52" s="17"/>
      <c r="F52" s="17"/>
      <c r="G52" s="17"/>
      <c r="H52" s="17"/>
      <c r="I52" s="17"/>
    </row>
    <row r="53" spans="1:9" x14ac:dyDescent="0.25">
      <c r="A53" s="17"/>
      <c r="B53" s="17"/>
      <c r="C53" s="17"/>
      <c r="D53" s="17"/>
      <c r="E53" s="17"/>
      <c r="F53" s="17"/>
      <c r="G53" s="17"/>
      <c r="H53" s="17"/>
      <c r="I53" s="30"/>
    </row>
    <row r="54" spans="1:9" x14ac:dyDescent="0.25">
      <c r="A54" s="17"/>
      <c r="B54" s="17"/>
      <c r="C54" s="17"/>
      <c r="D54" s="17"/>
      <c r="E54" s="17"/>
      <c r="F54" s="17"/>
      <c r="G54" s="17"/>
      <c r="H54" s="17"/>
      <c r="I54" s="30"/>
    </row>
    <row r="55" spans="1:9" x14ac:dyDescent="0.25">
      <c r="A55" s="17"/>
      <c r="B55" s="17"/>
      <c r="C55" s="17"/>
      <c r="D55" s="17"/>
      <c r="E55" s="17"/>
      <c r="F55" s="17"/>
      <c r="G55" s="17"/>
      <c r="H55" s="17"/>
      <c r="I55" s="30"/>
    </row>
    <row r="56" spans="1:9" x14ac:dyDescent="0.25">
      <c r="A56" s="17"/>
      <c r="B56" s="17"/>
      <c r="C56" s="17"/>
      <c r="D56" s="17"/>
      <c r="E56" s="17"/>
      <c r="F56" s="17"/>
      <c r="G56" s="17"/>
      <c r="H56" s="17"/>
      <c r="I56" s="30"/>
    </row>
    <row r="57" spans="1:9" x14ac:dyDescent="0.25">
      <c r="A57" s="17"/>
      <c r="B57" s="17"/>
      <c r="C57" s="17"/>
      <c r="D57" s="17"/>
      <c r="E57" s="17"/>
      <c r="F57" s="17"/>
      <c r="G57" s="17"/>
      <c r="H57" s="17"/>
      <c r="I57" s="30"/>
    </row>
    <row r="58" spans="1:9" x14ac:dyDescent="0.25">
      <c r="A58" s="17"/>
      <c r="B58" s="17"/>
      <c r="C58" s="17"/>
      <c r="D58" s="17"/>
      <c r="E58" s="17"/>
      <c r="F58" s="17"/>
      <c r="G58" s="17"/>
      <c r="H58" s="17"/>
      <c r="I58" s="30"/>
    </row>
    <row r="59" spans="1:9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17"/>
      <c r="B60" s="17"/>
      <c r="C60" s="17"/>
      <c r="D60" s="17"/>
      <c r="E60" s="17"/>
      <c r="F60" s="17"/>
      <c r="G60" s="17"/>
      <c r="H60" s="17"/>
      <c r="I60" s="17"/>
    </row>
    <row r="61" spans="1:9" x14ac:dyDescent="0.25">
      <c r="A61" s="17"/>
      <c r="B61" s="17"/>
      <c r="C61" s="17"/>
      <c r="D61" s="17"/>
      <c r="E61" s="17"/>
      <c r="F61" s="17"/>
      <c r="G61" s="17"/>
      <c r="H61" s="17"/>
      <c r="I61" s="17"/>
    </row>
    <row r="62" spans="1:9" x14ac:dyDescent="0.25">
      <c r="A62" s="17"/>
      <c r="B62" s="17"/>
      <c r="C62" s="17"/>
      <c r="D62" s="17"/>
      <c r="E62" s="17"/>
      <c r="F62" s="17"/>
      <c r="G62" s="17"/>
      <c r="H62" s="17"/>
      <c r="I62" s="17"/>
    </row>
    <row r="63" spans="1:9" x14ac:dyDescent="0.25">
      <c r="A63" s="17"/>
      <c r="B63" s="17"/>
      <c r="C63" s="17"/>
      <c r="D63" s="17"/>
      <c r="E63" s="17"/>
      <c r="F63" s="17"/>
      <c r="G63" s="17"/>
      <c r="H63" s="17"/>
      <c r="I63" s="17"/>
    </row>
    <row r="64" spans="1:9" x14ac:dyDescent="0.25">
      <c r="A64" s="17"/>
      <c r="B64" s="17"/>
      <c r="C64" s="17"/>
      <c r="D64" s="17"/>
      <c r="E64" s="17"/>
      <c r="F64" s="17"/>
      <c r="G64" s="17"/>
      <c r="H64" s="17"/>
      <c r="I64" s="17"/>
    </row>
    <row r="65" spans="1:9" x14ac:dyDescent="0.25">
      <c r="A65" s="17"/>
      <c r="B65" s="17"/>
      <c r="C65" s="17"/>
      <c r="D65" s="17"/>
      <c r="E65" s="17"/>
      <c r="F65" s="17"/>
      <c r="G65" s="17"/>
      <c r="H65" s="17"/>
      <c r="I65" s="17"/>
    </row>
    <row r="66" spans="1:9" x14ac:dyDescent="0.25">
      <c r="A66" s="17"/>
      <c r="B66" s="17"/>
      <c r="C66" s="17"/>
      <c r="D66" s="17"/>
      <c r="E66" s="17"/>
      <c r="F66" s="17"/>
      <c r="G66" s="17"/>
      <c r="H66" s="17"/>
      <c r="I66" s="17"/>
    </row>
    <row r="67" spans="1:9" x14ac:dyDescent="0.25">
      <c r="A67" s="17"/>
      <c r="B67" s="17"/>
      <c r="C67" s="17"/>
      <c r="D67" s="17"/>
      <c r="E67" s="17"/>
      <c r="F67" s="17"/>
      <c r="G67" s="17"/>
      <c r="H67" s="17"/>
      <c r="I67" s="17"/>
    </row>
    <row r="68" spans="1:9" x14ac:dyDescent="0.25">
      <c r="A68" s="17"/>
      <c r="B68" s="17"/>
      <c r="C68" s="17"/>
      <c r="D68" s="17"/>
      <c r="E68" s="17"/>
      <c r="F68" s="17"/>
      <c r="G68" s="17"/>
      <c r="H68" s="17"/>
      <c r="I68" s="17"/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7"/>
      <c r="B70" s="17"/>
      <c r="C70" s="17"/>
      <c r="D70" s="17"/>
      <c r="E70" s="17"/>
      <c r="F70" s="17"/>
      <c r="G70" s="17"/>
      <c r="H70" s="17"/>
      <c r="I70" s="17"/>
    </row>
    <row r="71" spans="1:9" x14ac:dyDescent="0.25">
      <c r="A71" s="17"/>
      <c r="B71" s="17"/>
      <c r="C71" s="17"/>
      <c r="D71" s="17"/>
      <c r="E71" s="17"/>
      <c r="F71" s="17"/>
      <c r="G71" s="17"/>
      <c r="H71" s="17"/>
      <c r="I71" s="17"/>
    </row>
    <row r="72" spans="1:9" x14ac:dyDescent="0.25">
      <c r="A72" s="17"/>
      <c r="B72" s="17"/>
      <c r="C72" s="17"/>
      <c r="D72" s="17"/>
      <c r="E72" s="17"/>
      <c r="F72" s="17"/>
      <c r="G72" s="17"/>
      <c r="H72" s="17"/>
      <c r="I72" s="17"/>
    </row>
    <row r="73" spans="1:9" x14ac:dyDescent="0.25">
      <c r="A73" s="17"/>
      <c r="B73" s="17"/>
      <c r="C73" s="17"/>
      <c r="D73" s="17"/>
      <c r="E73" s="17"/>
      <c r="F73" s="17"/>
      <c r="G73" s="17"/>
      <c r="H73" s="17"/>
      <c r="I73" s="17"/>
    </row>
    <row r="74" spans="1:9" x14ac:dyDescent="0.25">
      <c r="A74" s="17"/>
      <c r="B74" s="17"/>
      <c r="C74" s="17"/>
      <c r="D74" s="17"/>
      <c r="E74" s="17"/>
      <c r="F74" s="17"/>
      <c r="G74" s="17"/>
      <c r="H74" s="17"/>
      <c r="I74" s="17"/>
    </row>
    <row r="75" spans="1:9" x14ac:dyDescent="0.25">
      <c r="A75" s="17"/>
      <c r="B75" s="17"/>
      <c r="C75" s="17"/>
      <c r="D75" s="17"/>
      <c r="E75" s="17"/>
      <c r="F75" s="17"/>
      <c r="G75" s="17"/>
      <c r="H75" s="17"/>
      <c r="I75" s="30"/>
    </row>
    <row r="76" spans="1:9" x14ac:dyDescent="0.25">
      <c r="A76" s="17"/>
      <c r="B76" s="17"/>
      <c r="C76" s="17"/>
      <c r="D76" s="17"/>
      <c r="E76" s="17"/>
      <c r="F76" s="17"/>
      <c r="G76" s="17"/>
      <c r="H76" s="17"/>
      <c r="I76" s="30"/>
    </row>
    <row r="77" spans="1:9" x14ac:dyDescent="0.25">
      <c r="A77" s="17"/>
      <c r="B77" s="17"/>
      <c r="C77" s="17"/>
      <c r="D77" s="17"/>
      <c r="E77" s="17"/>
      <c r="F77" s="17"/>
      <c r="G77" s="17"/>
      <c r="H77" s="17"/>
      <c r="I77" s="17"/>
    </row>
    <row r="78" spans="1:9" x14ac:dyDescent="0.25">
      <c r="A78" s="17"/>
      <c r="B78" s="17"/>
      <c r="C78" s="17"/>
      <c r="D78" s="17"/>
      <c r="E78" s="17"/>
      <c r="F78" s="17"/>
      <c r="G78" s="17"/>
      <c r="H78" s="17"/>
      <c r="I78" s="17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">
    <cfRule type="expression" dxfId="16" priority="4">
      <formula>G2&gt;0</formula>
    </cfRule>
  </conditionalFormatting>
  <conditionalFormatting sqref="G2:G50">
    <cfRule type="expression" dxfId="15" priority="2">
      <formula>G2&lt;0</formula>
    </cfRule>
  </conditionalFormatting>
  <conditionalFormatting sqref="G3:G4">
    <cfRule type="expression" dxfId="14" priority="1">
      <formula>G3&gt;0</formula>
    </cfRule>
  </conditionalFormatting>
  <conditionalFormatting sqref="G5:G50">
    <cfRule type="expression" dxfId="13" priority="6">
      <formula>G5&gt;0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900-000000000000}">
          <x14:formula1>
            <xm:f>CATEGORIASCONFIGS!$A$2:$A$4</xm:f>
          </x14:formula1>
          <xm:sqref>B2:B50</xm:sqref>
        </x14:dataValidation>
        <x14:dataValidation type="list" allowBlank="1" showErrorMessage="1" xr:uid="{00000000-0002-0000-0900-000001000000}">
          <x14:formula1>
            <xm:f>CATEGORIASCONFIGS!$C$2:$C$5</xm:f>
          </x14:formula1>
          <xm:sqref>D2:D50</xm:sqref>
        </x14:dataValidation>
        <x14:dataValidation type="list" allowBlank="1" showErrorMessage="1" xr:uid="{00000000-0002-0000-0900-000002000000}">
          <x14:formula1>
            <xm:f>CATEGORIASCONFIGS!$E$1:$E$31</xm:f>
          </x14:formula1>
          <xm:sqref>E2:E50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9" max="9" width="32.88671875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x14ac:dyDescent="0.25">
      <c r="A1" s="14" t="s">
        <v>156</v>
      </c>
      <c r="B1" s="14" t="s">
        <v>9</v>
      </c>
      <c r="C1" s="14" t="s">
        <v>157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/>
      <c r="B2" s="17" t="s">
        <v>112</v>
      </c>
      <c r="C2" s="17"/>
      <c r="D2" s="17"/>
      <c r="E2" s="17"/>
      <c r="F2" s="25"/>
      <c r="G2" s="25">
        <f t="shared" ref="G2:G231" si="0">IF(B2="Saída", -ABS(F2), ABS(F2))</f>
        <v>0</v>
      </c>
      <c r="H2" s="17"/>
      <c r="I2" s="17" t="s">
        <v>500</v>
      </c>
      <c r="J2" s="17" t="s">
        <v>162</v>
      </c>
      <c r="K2" s="25">
        <f>SUMIF(B:B,"Entrada",G:G)</f>
        <v>0</v>
      </c>
      <c r="AL2" t="s">
        <v>1005</v>
      </c>
      <c r="AM2">
        <f>SUMIFS($F:$F,$X:$X,"Entrada",$Y:$Y,"Receita")+SUMIFS($F:$F,$B:$B,"Entrada",$X:$X,"")</f>
        <v>0</v>
      </c>
    </row>
    <row r="3" spans="1:39" x14ac:dyDescent="0.25">
      <c r="A3" s="11"/>
      <c r="B3" s="17"/>
      <c r="C3" s="17"/>
      <c r="D3" s="17"/>
      <c r="E3" s="17"/>
      <c r="F3" s="25"/>
      <c r="G3" s="25">
        <f t="shared" si="0"/>
        <v>0</v>
      </c>
      <c r="H3" s="17"/>
      <c r="I3" s="17" t="s">
        <v>501</v>
      </c>
      <c r="J3" s="17" t="s">
        <v>164</v>
      </c>
      <c r="K3" s="25">
        <f>SUMIF(B:B,"Saída",G:G)</f>
        <v>0</v>
      </c>
      <c r="AL3" t="s">
        <v>1006</v>
      </c>
      <c r="AM3">
        <f>SUMIFS($F:$F,$X:$X,"Saída",$Y:$Y,"Despesa")+SUMIFS($F:$F,$B:$B,"Saída",$X:$X,"",$D:$D,"&lt;&gt;Investimentos",$D:$D,"&lt;&gt;Sonhos")</f>
        <v>0</v>
      </c>
    </row>
    <row r="4" spans="1:39" x14ac:dyDescent="0.25">
      <c r="A4" s="11"/>
      <c r="B4" s="17"/>
      <c r="C4" s="17"/>
      <c r="D4" s="17"/>
      <c r="E4" s="17"/>
      <c r="F4" s="25"/>
      <c r="G4" s="25">
        <f t="shared" si="0"/>
        <v>0</v>
      </c>
      <c r="H4" s="17"/>
      <c r="I4" s="17" t="s">
        <v>502</v>
      </c>
      <c r="J4" s="17" t="s">
        <v>224</v>
      </c>
      <c r="K4" s="25">
        <f>K2 + K3</f>
        <v>0</v>
      </c>
      <c r="AL4" t="s">
        <v>1007</v>
      </c>
      <c r="AM4">
        <f>SUMIFS($F:$F,$X:$X,"Saída",$Y:$Y,"Despesa",$AB:$AB,"Essencial")+SUMIFS($F:$F,$B:$B,"Saída",$X:$X,"",$D:$D,"Essencial")</f>
        <v>0</v>
      </c>
    </row>
    <row r="5" spans="1:39" x14ac:dyDescent="0.25">
      <c r="A5" s="11"/>
      <c r="B5" s="17"/>
      <c r="C5" s="17"/>
      <c r="D5" s="17"/>
      <c r="E5" s="17"/>
      <c r="F5" s="25"/>
      <c r="G5" s="25">
        <f t="shared" si="0"/>
        <v>0</v>
      </c>
      <c r="H5" s="17"/>
      <c r="I5" s="17" t="s">
        <v>503</v>
      </c>
      <c r="AL5" t="s">
        <v>1008</v>
      </c>
      <c r="AM5">
        <f>SUMIFS($F:$F,$X:$X,"Saída",$Y:$Y,"Despesa",$AB:$AB,"Não essencial")+SUMIFS($F:$F,$B:$B,"Saída",$X:$X,"",$D:$D,"Não essencial")</f>
        <v>0</v>
      </c>
    </row>
    <row r="6" spans="1:39" x14ac:dyDescent="0.25">
      <c r="A6" s="11"/>
      <c r="B6" s="17"/>
      <c r="C6" s="17"/>
      <c r="D6" s="17"/>
      <c r="E6" s="17"/>
      <c r="F6" s="25"/>
      <c r="G6" s="25">
        <f t="shared" si="0"/>
        <v>0</v>
      </c>
      <c r="H6" s="17"/>
      <c r="I6" s="17" t="s">
        <v>504</v>
      </c>
      <c r="AL6" t="s">
        <v>120</v>
      </c>
      <c r="AM6">
        <f>SUMIFS($F:$F,$X:$X,"Saída",$Y:$Y,"Investimento")+SUMIFS($F:$F,$B:$B,"Saída",$X:$X,"",$D:$D,"Investimentos")</f>
        <v>0</v>
      </c>
    </row>
    <row r="7" spans="1:39" x14ac:dyDescent="0.25">
      <c r="A7" s="11"/>
      <c r="B7" s="17"/>
      <c r="C7" s="17"/>
      <c r="D7" s="17"/>
      <c r="E7" s="17"/>
      <c r="F7" s="25"/>
      <c r="G7" s="25">
        <f t="shared" si="0"/>
        <v>0</v>
      </c>
      <c r="H7" s="17"/>
      <c r="I7" s="17" t="s">
        <v>505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/>
      <c r="B8" s="17"/>
      <c r="C8" s="17"/>
      <c r="D8" s="17"/>
      <c r="E8" s="17"/>
      <c r="F8" s="25"/>
      <c r="G8" s="25">
        <f t="shared" si="0"/>
        <v>0</v>
      </c>
      <c r="H8" s="17"/>
      <c r="I8" s="17" t="s">
        <v>506</v>
      </c>
      <c r="J8" s="17" t="s">
        <v>113</v>
      </c>
      <c r="K8" s="25">
        <f t="shared" ref="K8:K11" si="1">SUMIF($D:$D, J8, $F:$F)</f>
        <v>0</v>
      </c>
      <c r="M8" s="17" t="s">
        <v>113</v>
      </c>
      <c r="N8" s="25">
        <f>K2*O8</f>
        <v>0</v>
      </c>
      <c r="O8" s="31">
        <v>0.45</v>
      </c>
      <c r="P8" s="25">
        <f t="shared" ref="P8:P11" si="2">ABS(SUMIF(D:D, M8, F:F))</f>
        <v>0</v>
      </c>
      <c r="Q8" s="25">
        <f t="shared" ref="Q8:Q11" si="3">P8 - N8</f>
        <v>0</v>
      </c>
      <c r="AL8" t="s">
        <v>1010</v>
      </c>
      <c r="AM8">
        <f>SUMIFS($F:$F,$X:$X,"Entrada")-SUMIFS($F:$F,$X:$X,"Saída")+SUMIFS($F:$F,$B:$B,"Entrada",$X:$X,"")-SUMIFS($F:$F,$B:$B,"Saída",$X:$X,"")</f>
        <v>0</v>
      </c>
    </row>
    <row r="9" spans="1:39" x14ac:dyDescent="0.25">
      <c r="A9" s="11"/>
      <c r="B9" s="17"/>
      <c r="C9" s="17"/>
      <c r="D9" s="17"/>
      <c r="E9" s="17"/>
      <c r="F9" s="25"/>
      <c r="G9" s="25">
        <f t="shared" si="0"/>
        <v>0</v>
      </c>
      <c r="H9" s="17"/>
      <c r="I9" s="17" t="s">
        <v>507</v>
      </c>
      <c r="J9" s="17" t="s">
        <v>117</v>
      </c>
      <c r="K9" s="25">
        <f t="shared" si="1"/>
        <v>0</v>
      </c>
      <c r="M9" s="17" t="s">
        <v>117</v>
      </c>
      <c r="N9" s="25">
        <f>K2*O9</f>
        <v>0</v>
      </c>
      <c r="O9" s="31">
        <v>0.2</v>
      </c>
      <c r="P9" s="25">
        <f t="shared" si="2"/>
        <v>0</v>
      </c>
      <c r="Q9" s="25">
        <f t="shared" si="3"/>
        <v>0</v>
      </c>
    </row>
    <row r="10" spans="1:39" x14ac:dyDescent="0.25">
      <c r="A10" s="11"/>
      <c r="B10" s="17"/>
      <c r="C10" s="17"/>
      <c r="D10" s="17"/>
      <c r="E10" s="17"/>
      <c r="F10" s="25"/>
      <c r="G10" s="25">
        <f t="shared" si="0"/>
        <v>0</v>
      </c>
      <c r="H10" s="17"/>
      <c r="I10" s="17" t="s">
        <v>508</v>
      </c>
      <c r="J10" s="17" t="s">
        <v>120</v>
      </c>
      <c r="K10" s="25">
        <f t="shared" si="1"/>
        <v>0</v>
      </c>
      <c r="M10" s="17" t="s">
        <v>120</v>
      </c>
      <c r="N10" s="25">
        <f>K2*O10</f>
        <v>0</v>
      </c>
      <c r="O10" s="31">
        <v>0.3</v>
      </c>
      <c r="P10" s="25">
        <f t="shared" si="2"/>
        <v>0</v>
      </c>
      <c r="Q10" s="25">
        <f t="shared" si="3"/>
        <v>0</v>
      </c>
    </row>
    <row r="11" spans="1:39" x14ac:dyDescent="0.25">
      <c r="A11" s="11"/>
      <c r="B11" s="17"/>
      <c r="C11" s="17"/>
      <c r="D11" s="17"/>
      <c r="E11" s="17"/>
      <c r="F11" s="25"/>
      <c r="G11" s="25">
        <f t="shared" si="0"/>
        <v>0</v>
      </c>
      <c r="H11" s="17"/>
      <c r="I11" s="17" t="s">
        <v>509</v>
      </c>
      <c r="J11" s="17" t="s">
        <v>123</v>
      </c>
      <c r="K11" s="25">
        <f t="shared" si="1"/>
        <v>0</v>
      </c>
      <c r="M11" s="17" t="s">
        <v>123</v>
      </c>
      <c r="N11" s="25">
        <f>K2*O11</f>
        <v>0</v>
      </c>
      <c r="O11" s="31">
        <v>0.05</v>
      </c>
      <c r="P11" s="25">
        <f t="shared" si="2"/>
        <v>0</v>
      </c>
      <c r="Q11" s="25">
        <f t="shared" si="3"/>
        <v>0</v>
      </c>
    </row>
    <row r="12" spans="1:39" x14ac:dyDescent="0.25">
      <c r="A12" s="17"/>
      <c r="B12" s="17"/>
      <c r="C12" s="17"/>
      <c r="D12" s="17"/>
      <c r="E12" s="17"/>
      <c r="F12" s="25"/>
      <c r="G12" s="25">
        <f t="shared" si="0"/>
        <v>0</v>
      </c>
      <c r="H12" s="17"/>
      <c r="I12" s="17" t="s">
        <v>510</v>
      </c>
    </row>
    <row r="13" spans="1:39" x14ac:dyDescent="0.25">
      <c r="A13" s="11"/>
      <c r="B13" s="17"/>
      <c r="C13" s="17"/>
      <c r="D13" s="17"/>
      <c r="E13" s="17"/>
      <c r="F13" s="25"/>
      <c r="G13" s="25">
        <f t="shared" si="0"/>
        <v>0</v>
      </c>
      <c r="H13" s="17"/>
      <c r="I13" s="17" t="s">
        <v>511</v>
      </c>
    </row>
    <row r="14" spans="1:39" x14ac:dyDescent="0.25">
      <c r="A14" s="11"/>
      <c r="B14" s="17"/>
      <c r="C14" s="17"/>
      <c r="D14" s="17"/>
      <c r="E14" s="17"/>
      <c r="F14" s="25"/>
      <c r="G14" s="25">
        <f t="shared" si="0"/>
        <v>0</v>
      </c>
      <c r="H14" s="17"/>
      <c r="I14" s="17" t="s">
        <v>512</v>
      </c>
    </row>
    <row r="15" spans="1:39" x14ac:dyDescent="0.25">
      <c r="A15" s="11"/>
      <c r="B15" s="17"/>
      <c r="C15" s="17"/>
      <c r="D15" s="17"/>
      <c r="E15" s="17"/>
      <c r="F15" s="25"/>
      <c r="G15" s="25">
        <f t="shared" si="0"/>
        <v>0</v>
      </c>
      <c r="H15" s="17"/>
      <c r="I15" s="17" t="s">
        <v>513</v>
      </c>
    </row>
    <row r="16" spans="1:39" x14ac:dyDescent="0.25">
      <c r="A16" s="11"/>
      <c r="B16" s="17"/>
      <c r="C16" s="17"/>
      <c r="D16" s="17"/>
      <c r="E16" s="17"/>
      <c r="F16" s="25"/>
      <c r="G16" s="25">
        <f t="shared" si="0"/>
        <v>0</v>
      </c>
      <c r="H16" s="17"/>
      <c r="I16" s="17" t="s">
        <v>514</v>
      </c>
    </row>
    <row r="17" spans="1:9" x14ac:dyDescent="0.25">
      <c r="A17" s="11"/>
      <c r="B17" s="17"/>
      <c r="C17" s="17"/>
      <c r="D17" s="17"/>
      <c r="E17" s="17"/>
      <c r="F17" s="25"/>
      <c r="G17" s="25">
        <f t="shared" si="0"/>
        <v>0</v>
      </c>
      <c r="H17" s="17"/>
      <c r="I17" s="17" t="s">
        <v>515</v>
      </c>
    </row>
    <row r="18" spans="1:9" x14ac:dyDescent="0.25">
      <c r="A18" s="11"/>
      <c r="B18" s="17"/>
      <c r="C18" s="17"/>
      <c r="D18" s="17"/>
      <c r="E18" s="17"/>
      <c r="F18" s="25"/>
      <c r="G18" s="25">
        <f t="shared" si="0"/>
        <v>0</v>
      </c>
      <c r="H18" s="17"/>
      <c r="I18" s="17" t="s">
        <v>516</v>
      </c>
    </row>
    <row r="19" spans="1:9" x14ac:dyDescent="0.25">
      <c r="A19" s="11"/>
      <c r="B19" s="17"/>
      <c r="C19" s="17"/>
      <c r="D19" s="17"/>
      <c r="E19" s="17"/>
      <c r="F19" s="25"/>
      <c r="G19" s="25">
        <f t="shared" si="0"/>
        <v>0</v>
      </c>
      <c r="H19" s="17"/>
      <c r="I19" s="17" t="s">
        <v>517</v>
      </c>
    </row>
    <row r="20" spans="1:9" x14ac:dyDescent="0.25">
      <c r="A20" s="11"/>
      <c r="B20" s="17"/>
      <c r="C20" s="17"/>
      <c r="D20" s="17"/>
      <c r="E20" s="17"/>
      <c r="F20" s="25"/>
      <c r="G20" s="25">
        <f t="shared" si="0"/>
        <v>0</v>
      </c>
      <c r="H20" s="17"/>
      <c r="I20" s="17" t="s">
        <v>518</v>
      </c>
    </row>
    <row r="21" spans="1:9" x14ac:dyDescent="0.25">
      <c r="A21" s="11"/>
      <c r="B21" s="17"/>
      <c r="C21" s="17"/>
      <c r="D21" s="17"/>
      <c r="E21" s="17"/>
      <c r="F21" s="25"/>
      <c r="G21" s="25">
        <f t="shared" si="0"/>
        <v>0</v>
      </c>
      <c r="H21" s="17"/>
      <c r="I21" s="17" t="s">
        <v>519</v>
      </c>
    </row>
    <row r="22" spans="1:9" x14ac:dyDescent="0.25">
      <c r="A22" s="11"/>
      <c r="B22" s="17"/>
      <c r="C22" s="17"/>
      <c r="D22" s="17"/>
      <c r="E22" s="17"/>
      <c r="F22" s="25"/>
      <c r="G22" s="25">
        <f t="shared" si="0"/>
        <v>0</v>
      </c>
      <c r="H22" s="17"/>
      <c r="I22" s="17" t="s">
        <v>520</v>
      </c>
    </row>
    <row r="23" spans="1:9" x14ac:dyDescent="0.25">
      <c r="A23" s="11"/>
      <c r="B23" s="17"/>
      <c r="C23" s="17"/>
      <c r="D23" s="17"/>
      <c r="E23" s="17"/>
      <c r="F23" s="25"/>
      <c r="G23" s="25">
        <f t="shared" si="0"/>
        <v>0</v>
      </c>
      <c r="H23" s="17"/>
      <c r="I23" s="17" t="s">
        <v>521</v>
      </c>
    </row>
    <row r="24" spans="1:9" x14ac:dyDescent="0.25">
      <c r="A24" s="11"/>
      <c r="B24" s="17"/>
      <c r="C24" s="17"/>
      <c r="D24" s="17"/>
      <c r="E24" s="17"/>
      <c r="F24" s="25"/>
      <c r="G24" s="25">
        <f t="shared" si="0"/>
        <v>0</v>
      </c>
      <c r="H24" s="17"/>
      <c r="I24" s="17" t="s">
        <v>522</v>
      </c>
    </row>
    <row r="25" spans="1:9" x14ac:dyDescent="0.25">
      <c r="A25" s="11"/>
      <c r="B25" s="17"/>
      <c r="C25" s="17"/>
      <c r="D25" s="17"/>
      <c r="E25" s="17"/>
      <c r="F25" s="25"/>
      <c r="G25" s="25">
        <f t="shared" si="0"/>
        <v>0</v>
      </c>
      <c r="H25" s="17"/>
      <c r="I25" s="17" t="s">
        <v>523</v>
      </c>
    </row>
    <row r="26" spans="1:9" x14ac:dyDescent="0.25">
      <c r="A26" s="11"/>
      <c r="B26" s="17"/>
      <c r="C26" s="17"/>
      <c r="D26" s="17"/>
      <c r="E26" s="17"/>
      <c r="F26" s="25"/>
      <c r="G26" s="25">
        <f t="shared" si="0"/>
        <v>0</v>
      </c>
      <c r="H26" s="17"/>
      <c r="I26" s="17" t="s">
        <v>524</v>
      </c>
    </row>
    <row r="27" spans="1:9" x14ac:dyDescent="0.25">
      <c r="A27" s="11"/>
      <c r="B27" s="17"/>
      <c r="C27" s="17"/>
      <c r="D27" s="17"/>
      <c r="E27" s="17"/>
      <c r="F27" s="25"/>
      <c r="G27" s="25">
        <f t="shared" si="0"/>
        <v>0</v>
      </c>
      <c r="H27" s="17"/>
      <c r="I27" s="17" t="s">
        <v>525</v>
      </c>
    </row>
    <row r="28" spans="1:9" x14ac:dyDescent="0.25">
      <c r="A28" s="11"/>
      <c r="B28" s="17"/>
      <c r="C28" s="17"/>
      <c r="D28" s="17"/>
      <c r="E28" s="17"/>
      <c r="F28" s="25"/>
      <c r="G28" s="25">
        <f t="shared" si="0"/>
        <v>0</v>
      </c>
      <c r="H28" s="17"/>
      <c r="I28" s="17" t="s">
        <v>526</v>
      </c>
    </row>
    <row r="29" spans="1:9" x14ac:dyDescent="0.25">
      <c r="A29" s="11"/>
      <c r="B29" s="17"/>
      <c r="C29" s="17"/>
      <c r="D29" s="17"/>
      <c r="E29" s="17"/>
      <c r="F29" s="25"/>
      <c r="G29" s="25">
        <f t="shared" si="0"/>
        <v>0</v>
      </c>
      <c r="H29" s="17"/>
      <c r="I29" s="17" t="s">
        <v>527</v>
      </c>
    </row>
    <row r="30" spans="1:9" x14ac:dyDescent="0.25">
      <c r="A30" s="11"/>
      <c r="B30" s="17"/>
      <c r="C30" s="17"/>
      <c r="D30" s="17"/>
      <c r="E30" s="17"/>
      <c r="F30" s="25"/>
      <c r="G30" s="25">
        <f t="shared" si="0"/>
        <v>0</v>
      </c>
      <c r="H30" s="17"/>
      <c r="I30" s="17" t="s">
        <v>528</v>
      </c>
    </row>
    <row r="31" spans="1:9" x14ac:dyDescent="0.25">
      <c r="A31" s="11"/>
      <c r="B31" s="17"/>
      <c r="C31" s="17"/>
      <c r="D31" s="17"/>
      <c r="E31" s="17"/>
      <c r="F31" s="25"/>
      <c r="G31" s="25">
        <f t="shared" si="0"/>
        <v>0</v>
      </c>
      <c r="H31" s="17"/>
      <c r="I31" s="17" t="s">
        <v>529</v>
      </c>
    </row>
    <row r="32" spans="1:9" x14ac:dyDescent="0.25">
      <c r="A32" s="11"/>
      <c r="B32" s="17"/>
      <c r="C32" s="17"/>
      <c r="D32" s="17"/>
      <c r="E32" s="17"/>
      <c r="F32" s="25"/>
      <c r="G32" s="25">
        <f t="shared" si="0"/>
        <v>0</v>
      </c>
      <c r="H32" s="17"/>
      <c r="I32" s="17" t="s">
        <v>530</v>
      </c>
    </row>
    <row r="33" spans="1:9" x14ac:dyDescent="0.25">
      <c r="A33" s="11"/>
      <c r="B33" s="17"/>
      <c r="C33" s="17"/>
      <c r="D33" s="17"/>
      <c r="E33" s="17"/>
      <c r="F33" s="25"/>
      <c r="G33" s="25">
        <f t="shared" si="0"/>
        <v>0</v>
      </c>
      <c r="H33" s="17"/>
      <c r="I33" s="17" t="s">
        <v>531</v>
      </c>
    </row>
    <row r="34" spans="1:9" x14ac:dyDescent="0.25">
      <c r="A34" s="11"/>
      <c r="B34" s="17"/>
      <c r="C34" s="17"/>
      <c r="D34" s="17"/>
      <c r="E34" s="17"/>
      <c r="F34" s="25"/>
      <c r="G34" s="25">
        <f t="shared" si="0"/>
        <v>0</v>
      </c>
      <c r="H34" s="17"/>
      <c r="I34" s="17" t="s">
        <v>532</v>
      </c>
    </row>
    <row r="35" spans="1:9" x14ac:dyDescent="0.25">
      <c r="A35" s="11"/>
      <c r="B35" s="17"/>
      <c r="C35" s="17"/>
      <c r="D35" s="17"/>
      <c r="E35" s="17"/>
      <c r="F35" s="25"/>
      <c r="G35" s="25">
        <f t="shared" si="0"/>
        <v>0</v>
      </c>
      <c r="H35" s="17"/>
      <c r="I35" s="17" t="s">
        <v>533</v>
      </c>
    </row>
    <row r="36" spans="1:9" x14ac:dyDescent="0.25">
      <c r="A36" s="11"/>
      <c r="B36" s="17"/>
      <c r="C36" s="17"/>
      <c r="D36" s="17"/>
      <c r="E36" s="17"/>
      <c r="F36" s="25"/>
      <c r="G36" s="25">
        <f t="shared" si="0"/>
        <v>0</v>
      </c>
      <c r="H36" s="17"/>
      <c r="I36" s="17" t="s">
        <v>534</v>
      </c>
    </row>
    <row r="37" spans="1:9" x14ac:dyDescent="0.25">
      <c r="A37" s="11"/>
      <c r="B37" s="17"/>
      <c r="C37" s="17"/>
      <c r="D37" s="17"/>
      <c r="E37" s="17"/>
      <c r="F37" s="25"/>
      <c r="G37" s="25">
        <f t="shared" si="0"/>
        <v>0</v>
      </c>
      <c r="H37" s="17"/>
      <c r="I37" s="17" t="s">
        <v>535</v>
      </c>
    </row>
    <row r="38" spans="1:9" x14ac:dyDescent="0.25">
      <c r="A38" s="11"/>
      <c r="B38" s="17"/>
      <c r="C38" s="17"/>
      <c r="D38" s="17"/>
      <c r="E38" s="17"/>
      <c r="F38" s="25"/>
      <c r="G38" s="25">
        <f t="shared" si="0"/>
        <v>0</v>
      </c>
      <c r="H38" s="17"/>
      <c r="I38" s="17" t="s">
        <v>536</v>
      </c>
    </row>
    <row r="39" spans="1:9" x14ac:dyDescent="0.25">
      <c r="A39" s="11"/>
      <c r="B39" s="17"/>
      <c r="C39" s="17"/>
      <c r="D39" s="17"/>
      <c r="E39" s="17"/>
      <c r="F39" s="25"/>
      <c r="G39" s="25">
        <f t="shared" si="0"/>
        <v>0</v>
      </c>
      <c r="H39" s="17"/>
      <c r="I39" s="17" t="s">
        <v>537</v>
      </c>
    </row>
    <row r="40" spans="1:9" x14ac:dyDescent="0.25">
      <c r="A40" s="11"/>
      <c r="B40" s="17"/>
      <c r="C40" s="17"/>
      <c r="D40" s="17"/>
      <c r="E40" s="17"/>
      <c r="F40" s="25"/>
      <c r="G40" s="25">
        <f t="shared" si="0"/>
        <v>0</v>
      </c>
      <c r="H40" s="17"/>
      <c r="I40" s="17" t="s">
        <v>538</v>
      </c>
    </row>
    <row r="41" spans="1:9" x14ac:dyDescent="0.25">
      <c r="A41" s="11"/>
      <c r="B41" s="17"/>
      <c r="C41" s="17"/>
      <c r="D41" s="17"/>
      <c r="E41" s="17"/>
      <c r="F41" s="25"/>
      <c r="G41" s="25">
        <f t="shared" si="0"/>
        <v>0</v>
      </c>
      <c r="H41" s="17"/>
      <c r="I41" s="17" t="s">
        <v>539</v>
      </c>
    </row>
    <row r="42" spans="1:9" x14ac:dyDescent="0.25">
      <c r="A42" s="11"/>
      <c r="B42" s="17"/>
      <c r="C42" s="17"/>
      <c r="D42" s="17"/>
      <c r="E42" s="17"/>
      <c r="F42" s="25"/>
      <c r="G42" s="25">
        <f t="shared" si="0"/>
        <v>0</v>
      </c>
      <c r="H42" s="17"/>
      <c r="I42" s="17" t="s">
        <v>540</v>
      </c>
    </row>
    <row r="43" spans="1:9" x14ac:dyDescent="0.25">
      <c r="A43" s="11"/>
      <c r="B43" s="17"/>
      <c r="C43" s="17"/>
      <c r="D43" s="17"/>
      <c r="E43" s="17"/>
      <c r="F43" s="25"/>
      <c r="G43" s="25">
        <f t="shared" si="0"/>
        <v>0</v>
      </c>
      <c r="H43" s="17"/>
      <c r="I43" s="17" t="s">
        <v>541</v>
      </c>
    </row>
    <row r="44" spans="1:9" x14ac:dyDescent="0.25">
      <c r="A44" s="11"/>
      <c r="B44" s="17"/>
      <c r="C44" s="17"/>
      <c r="D44" s="17"/>
      <c r="E44" s="17"/>
      <c r="F44" s="25"/>
      <c r="G44" s="25">
        <f t="shared" si="0"/>
        <v>0</v>
      </c>
      <c r="H44" s="17"/>
      <c r="I44" s="17" t="s">
        <v>542</v>
      </c>
    </row>
    <row r="45" spans="1:9" x14ac:dyDescent="0.25">
      <c r="A45" s="11"/>
      <c r="B45" s="17"/>
      <c r="C45" s="17"/>
      <c r="D45" s="17"/>
      <c r="E45" s="17"/>
      <c r="F45" s="25"/>
      <c r="G45" s="25">
        <f t="shared" si="0"/>
        <v>0</v>
      </c>
      <c r="H45" s="17"/>
      <c r="I45" s="17" t="s">
        <v>543</v>
      </c>
    </row>
    <row r="46" spans="1:9" x14ac:dyDescent="0.25">
      <c r="A46" s="11"/>
      <c r="B46" s="17"/>
      <c r="C46" s="17"/>
      <c r="D46" s="17"/>
      <c r="E46" s="17"/>
      <c r="F46" s="25"/>
      <c r="G46" s="25">
        <f t="shared" si="0"/>
        <v>0</v>
      </c>
      <c r="H46" s="17"/>
      <c r="I46" s="17" t="s">
        <v>544</v>
      </c>
    </row>
    <row r="47" spans="1:9" x14ac:dyDescent="0.25">
      <c r="A47" s="11"/>
      <c r="B47" s="17"/>
      <c r="C47" s="17"/>
      <c r="D47" s="17"/>
      <c r="E47" s="17"/>
      <c r="F47" s="25"/>
      <c r="G47" s="25">
        <f t="shared" si="0"/>
        <v>0</v>
      </c>
      <c r="H47" s="17"/>
      <c r="I47" s="17" t="s">
        <v>545</v>
      </c>
    </row>
    <row r="48" spans="1:9" x14ac:dyDescent="0.25">
      <c r="A48" s="11"/>
      <c r="B48" s="17"/>
      <c r="C48" s="17"/>
      <c r="D48" s="17"/>
      <c r="E48" s="17"/>
      <c r="F48" s="25"/>
      <c r="G48" s="25">
        <f t="shared" si="0"/>
        <v>0</v>
      </c>
      <c r="H48" s="17"/>
      <c r="I48" s="17" t="s">
        <v>546</v>
      </c>
    </row>
    <row r="49" spans="1:9" x14ac:dyDescent="0.25">
      <c r="A49" s="11"/>
      <c r="B49" s="17"/>
      <c r="C49" s="17"/>
      <c r="D49" s="17"/>
      <c r="E49" s="17"/>
      <c r="F49" s="25"/>
      <c r="G49" s="25">
        <f t="shared" si="0"/>
        <v>0</v>
      </c>
      <c r="H49" s="17"/>
      <c r="I49" s="17" t="s">
        <v>547</v>
      </c>
    </row>
    <row r="50" spans="1:9" x14ac:dyDescent="0.25">
      <c r="A50" s="11"/>
      <c r="B50" s="17"/>
      <c r="C50" s="17"/>
      <c r="D50" s="17"/>
      <c r="E50" s="17"/>
      <c r="F50" s="25"/>
      <c r="G50" s="25">
        <f t="shared" si="0"/>
        <v>0</v>
      </c>
      <c r="H50" s="17"/>
      <c r="I50" s="17" t="s">
        <v>548</v>
      </c>
    </row>
    <row r="51" spans="1:9" x14ac:dyDescent="0.25">
      <c r="A51" s="11"/>
      <c r="B51" s="17"/>
      <c r="C51" s="17"/>
      <c r="D51" s="17"/>
      <c r="E51" s="17"/>
      <c r="F51" s="25"/>
      <c r="G51" s="25">
        <f t="shared" si="0"/>
        <v>0</v>
      </c>
      <c r="H51" s="17"/>
      <c r="I51" s="17" t="s">
        <v>549</v>
      </c>
    </row>
    <row r="52" spans="1:9" x14ac:dyDescent="0.25">
      <c r="A52" s="11"/>
      <c r="B52" s="17"/>
      <c r="C52" s="17"/>
      <c r="D52" s="17"/>
      <c r="E52" s="17"/>
      <c r="F52" s="25"/>
      <c r="G52" s="25">
        <f t="shared" si="0"/>
        <v>0</v>
      </c>
      <c r="H52" s="17"/>
      <c r="I52" s="17" t="s">
        <v>550</v>
      </c>
    </row>
    <row r="53" spans="1:9" x14ac:dyDescent="0.25">
      <c r="A53" s="11"/>
      <c r="B53" s="17"/>
      <c r="C53" s="17"/>
      <c r="D53" s="17"/>
      <c r="E53" s="17"/>
      <c r="F53" s="25"/>
      <c r="G53" s="25">
        <f t="shared" si="0"/>
        <v>0</v>
      </c>
      <c r="H53" s="17"/>
      <c r="I53" s="30" t="s">
        <v>551</v>
      </c>
    </row>
    <row r="54" spans="1:9" x14ac:dyDescent="0.25">
      <c r="A54" s="11"/>
      <c r="B54" s="17"/>
      <c r="C54" s="17"/>
      <c r="D54" s="17"/>
      <c r="E54" s="17"/>
      <c r="F54" s="25"/>
      <c r="G54" s="25">
        <f t="shared" si="0"/>
        <v>0</v>
      </c>
      <c r="H54" s="17"/>
      <c r="I54" s="30" t="s">
        <v>552</v>
      </c>
    </row>
    <row r="55" spans="1:9" x14ac:dyDescent="0.25">
      <c r="A55" s="11"/>
      <c r="B55" s="17"/>
      <c r="C55" s="17"/>
      <c r="D55" s="17"/>
      <c r="E55" s="17"/>
      <c r="F55" s="25"/>
      <c r="G55" s="25">
        <f t="shared" si="0"/>
        <v>0</v>
      </c>
      <c r="H55" s="17"/>
      <c r="I55" s="30" t="s">
        <v>553</v>
      </c>
    </row>
    <row r="56" spans="1:9" x14ac:dyDescent="0.25">
      <c r="A56" s="11"/>
      <c r="B56" s="17"/>
      <c r="C56" s="17"/>
      <c r="D56" s="17"/>
      <c r="E56" s="17"/>
      <c r="F56" s="25"/>
      <c r="G56" s="25">
        <f t="shared" si="0"/>
        <v>0</v>
      </c>
      <c r="H56" s="17"/>
      <c r="I56" s="30" t="s">
        <v>554</v>
      </c>
    </row>
    <row r="57" spans="1:9" x14ac:dyDescent="0.25">
      <c r="A57" s="11"/>
      <c r="B57" s="17"/>
      <c r="C57" s="17"/>
      <c r="D57" s="17"/>
      <c r="E57" s="17"/>
      <c r="F57" s="25"/>
      <c r="G57" s="25">
        <f t="shared" si="0"/>
        <v>0</v>
      </c>
      <c r="H57" s="17"/>
      <c r="I57" s="30" t="s">
        <v>555</v>
      </c>
    </row>
    <row r="58" spans="1:9" x14ac:dyDescent="0.25">
      <c r="A58" s="11"/>
      <c r="B58" s="17"/>
      <c r="C58" s="17"/>
      <c r="D58" s="17"/>
      <c r="E58" s="17"/>
      <c r="F58" s="25"/>
      <c r="G58" s="25">
        <f t="shared" si="0"/>
        <v>0</v>
      </c>
      <c r="H58" s="17"/>
      <c r="I58" s="30" t="s">
        <v>556</v>
      </c>
    </row>
    <row r="59" spans="1:9" x14ac:dyDescent="0.25">
      <c r="A59" s="11"/>
      <c r="B59" s="17"/>
      <c r="C59" s="17"/>
      <c r="D59" s="17"/>
      <c r="E59" s="17"/>
      <c r="F59" s="25"/>
      <c r="G59" s="25">
        <f t="shared" si="0"/>
        <v>0</v>
      </c>
      <c r="H59" s="17"/>
      <c r="I59" s="17" t="s">
        <v>557</v>
      </c>
    </row>
    <row r="60" spans="1:9" x14ac:dyDescent="0.25">
      <c r="A60" s="11"/>
      <c r="B60" s="17"/>
      <c r="C60" s="17"/>
      <c r="D60" s="17"/>
      <c r="E60" s="17"/>
      <c r="F60" s="25"/>
      <c r="G60" s="25">
        <f t="shared" si="0"/>
        <v>0</v>
      </c>
      <c r="H60" s="17"/>
      <c r="I60" s="17" t="s">
        <v>558</v>
      </c>
    </row>
    <row r="61" spans="1:9" x14ac:dyDescent="0.25">
      <c r="A61" s="11"/>
      <c r="B61" s="17"/>
      <c r="C61" s="17"/>
      <c r="D61" s="17"/>
      <c r="E61" s="17"/>
      <c r="F61" s="25"/>
      <c r="G61" s="25">
        <f t="shared" si="0"/>
        <v>0</v>
      </c>
      <c r="H61" s="17"/>
      <c r="I61" s="17" t="s">
        <v>559</v>
      </c>
    </row>
    <row r="62" spans="1:9" x14ac:dyDescent="0.25">
      <c r="A62" s="11"/>
      <c r="B62" s="17"/>
      <c r="C62" s="17"/>
      <c r="D62" s="17"/>
      <c r="E62" s="17"/>
      <c r="F62" s="25"/>
      <c r="G62" s="25">
        <f t="shared" si="0"/>
        <v>0</v>
      </c>
      <c r="H62" s="17"/>
      <c r="I62" s="17" t="s">
        <v>560</v>
      </c>
    </row>
    <row r="63" spans="1:9" x14ac:dyDescent="0.25">
      <c r="A63" s="11"/>
      <c r="B63" s="17"/>
      <c r="C63" s="17"/>
      <c r="D63" s="17"/>
      <c r="E63" s="17"/>
      <c r="F63" s="25"/>
      <c r="G63" s="25">
        <f t="shared" si="0"/>
        <v>0</v>
      </c>
      <c r="H63" s="17"/>
      <c r="I63" s="17" t="s">
        <v>561</v>
      </c>
    </row>
    <row r="64" spans="1:9" x14ac:dyDescent="0.25">
      <c r="A64" s="11"/>
      <c r="B64" s="17"/>
      <c r="C64" s="17"/>
      <c r="D64" s="17"/>
      <c r="E64" s="17"/>
      <c r="F64" s="25"/>
      <c r="G64" s="25">
        <f t="shared" si="0"/>
        <v>0</v>
      </c>
      <c r="H64" s="17"/>
      <c r="I64" s="17" t="s">
        <v>562</v>
      </c>
    </row>
    <row r="65" spans="1:9" x14ac:dyDescent="0.25">
      <c r="A65" s="11"/>
      <c r="B65" s="17"/>
      <c r="C65" s="17"/>
      <c r="D65" s="17"/>
      <c r="E65" s="17"/>
      <c r="F65" s="25"/>
      <c r="G65" s="25">
        <f t="shared" si="0"/>
        <v>0</v>
      </c>
      <c r="H65" s="17"/>
      <c r="I65" s="17" t="s">
        <v>563</v>
      </c>
    </row>
    <row r="66" spans="1:9" x14ac:dyDescent="0.25">
      <c r="A66" s="11"/>
      <c r="B66" s="17"/>
      <c r="C66" s="17"/>
      <c r="D66" s="17"/>
      <c r="E66" s="17"/>
      <c r="F66" s="25"/>
      <c r="G66" s="25">
        <f t="shared" si="0"/>
        <v>0</v>
      </c>
      <c r="H66" s="17"/>
      <c r="I66" s="17" t="s">
        <v>564</v>
      </c>
    </row>
    <row r="67" spans="1:9" x14ac:dyDescent="0.25">
      <c r="A67" s="11"/>
      <c r="B67" s="17"/>
      <c r="C67" s="17"/>
      <c r="D67" s="17"/>
      <c r="E67" s="17"/>
      <c r="F67" s="25"/>
      <c r="G67" s="25">
        <f t="shared" si="0"/>
        <v>0</v>
      </c>
      <c r="H67" s="17"/>
      <c r="I67" s="17" t="s">
        <v>565</v>
      </c>
    </row>
    <row r="68" spans="1:9" x14ac:dyDescent="0.25">
      <c r="A68" s="11"/>
      <c r="B68" s="17"/>
      <c r="C68" s="17"/>
      <c r="D68" s="17"/>
      <c r="E68" s="17"/>
      <c r="F68" s="25"/>
      <c r="G68" s="25">
        <f t="shared" si="0"/>
        <v>0</v>
      </c>
      <c r="H68" s="17"/>
      <c r="I68" s="17" t="s">
        <v>566</v>
      </c>
    </row>
    <row r="69" spans="1:9" x14ac:dyDescent="0.25">
      <c r="A69" s="11"/>
      <c r="B69" s="17"/>
      <c r="C69" s="17"/>
      <c r="D69" s="17"/>
      <c r="E69" s="17"/>
      <c r="F69" s="25"/>
      <c r="G69" s="25">
        <f t="shared" si="0"/>
        <v>0</v>
      </c>
      <c r="H69" s="17"/>
      <c r="I69" s="17" t="s">
        <v>567</v>
      </c>
    </row>
    <row r="70" spans="1:9" x14ac:dyDescent="0.25">
      <c r="A70" s="11"/>
      <c r="B70" s="17"/>
      <c r="C70" s="17"/>
      <c r="D70" s="17"/>
      <c r="E70" s="17"/>
      <c r="F70" s="25"/>
      <c r="G70" s="25">
        <f t="shared" si="0"/>
        <v>0</v>
      </c>
      <c r="H70" s="17"/>
      <c r="I70" s="17" t="s">
        <v>568</v>
      </c>
    </row>
    <row r="71" spans="1:9" x14ac:dyDescent="0.25">
      <c r="A71" s="11"/>
      <c r="B71" s="17"/>
      <c r="C71" s="17"/>
      <c r="D71" s="17"/>
      <c r="E71" s="17"/>
      <c r="F71" s="25"/>
      <c r="G71" s="25">
        <f t="shared" si="0"/>
        <v>0</v>
      </c>
      <c r="H71" s="17"/>
      <c r="I71" s="17" t="s">
        <v>569</v>
      </c>
    </row>
    <row r="72" spans="1:9" x14ac:dyDescent="0.25">
      <c r="A72" s="11"/>
      <c r="B72" s="17"/>
      <c r="C72" s="17"/>
      <c r="D72" s="17"/>
      <c r="E72" s="17"/>
      <c r="F72" s="25"/>
      <c r="G72" s="25">
        <f t="shared" si="0"/>
        <v>0</v>
      </c>
      <c r="H72" s="17"/>
      <c r="I72" s="17" t="s">
        <v>570</v>
      </c>
    </row>
    <row r="73" spans="1:9" x14ac:dyDescent="0.25">
      <c r="A73" s="11"/>
      <c r="B73" s="17"/>
      <c r="C73" s="17"/>
      <c r="D73" s="17"/>
      <c r="E73" s="17"/>
      <c r="F73" s="25"/>
      <c r="G73" s="25">
        <f t="shared" si="0"/>
        <v>0</v>
      </c>
      <c r="H73" s="17"/>
      <c r="I73" s="17" t="s">
        <v>571</v>
      </c>
    </row>
    <row r="74" spans="1:9" x14ac:dyDescent="0.25">
      <c r="A74" s="11"/>
      <c r="B74" s="17"/>
      <c r="C74" s="17"/>
      <c r="D74" s="17"/>
      <c r="E74" s="17"/>
      <c r="F74" s="25"/>
      <c r="G74" s="25">
        <f t="shared" si="0"/>
        <v>0</v>
      </c>
      <c r="H74" s="17"/>
      <c r="I74" s="17" t="s">
        <v>572</v>
      </c>
    </row>
    <row r="75" spans="1:9" x14ac:dyDescent="0.25">
      <c r="A75" s="11"/>
      <c r="B75" s="17"/>
      <c r="C75" s="17"/>
      <c r="D75" s="17"/>
      <c r="E75" s="17"/>
      <c r="F75" s="25"/>
      <c r="G75" s="25">
        <f t="shared" si="0"/>
        <v>0</v>
      </c>
      <c r="H75" s="17"/>
      <c r="I75" s="30" t="s">
        <v>573</v>
      </c>
    </row>
    <row r="76" spans="1:9" x14ac:dyDescent="0.25">
      <c r="A76" s="11"/>
      <c r="B76" s="17"/>
      <c r="C76" s="17"/>
      <c r="D76" s="17"/>
      <c r="E76" s="17"/>
      <c r="F76" s="25"/>
      <c r="G76" s="25">
        <f t="shared" si="0"/>
        <v>0</v>
      </c>
      <c r="H76" s="17"/>
      <c r="I76" s="30" t="s">
        <v>574</v>
      </c>
    </row>
    <row r="77" spans="1:9" x14ac:dyDescent="0.25">
      <c r="A77" s="11"/>
      <c r="B77" s="17"/>
      <c r="C77" s="17"/>
      <c r="D77" s="17"/>
      <c r="E77" s="17"/>
      <c r="F77" s="25"/>
      <c r="G77" s="25">
        <f t="shared" si="0"/>
        <v>0</v>
      </c>
      <c r="H77" s="17"/>
      <c r="I77" s="17" t="s">
        <v>575</v>
      </c>
    </row>
    <row r="78" spans="1:9" x14ac:dyDescent="0.25">
      <c r="A78" s="11"/>
      <c r="B78" s="17"/>
      <c r="C78" s="17"/>
      <c r="D78" s="17"/>
      <c r="E78" s="17"/>
      <c r="F78" s="25"/>
      <c r="G78" s="25">
        <f t="shared" si="0"/>
        <v>0</v>
      </c>
      <c r="H78" s="17"/>
      <c r="I78" s="17" t="s">
        <v>576</v>
      </c>
    </row>
    <row r="79" spans="1:9" x14ac:dyDescent="0.25">
      <c r="A79" s="11"/>
      <c r="B79" s="17"/>
      <c r="C79" s="17"/>
      <c r="D79" s="17"/>
      <c r="E79" s="17"/>
      <c r="F79" s="25"/>
      <c r="G79" s="25">
        <f t="shared" si="0"/>
        <v>0</v>
      </c>
      <c r="H79" s="17"/>
      <c r="I79" s="17" t="s">
        <v>577</v>
      </c>
    </row>
    <row r="80" spans="1:9" x14ac:dyDescent="0.25">
      <c r="A80" s="11"/>
      <c r="B80" s="17"/>
      <c r="C80" s="17"/>
      <c r="D80" s="17"/>
      <c r="E80" s="17"/>
      <c r="F80" s="25"/>
      <c r="G80" s="25">
        <f t="shared" si="0"/>
        <v>0</v>
      </c>
      <c r="H80" s="17"/>
      <c r="I80" s="17" t="s">
        <v>578</v>
      </c>
    </row>
    <row r="81" spans="1:9" x14ac:dyDescent="0.25">
      <c r="A81" s="11"/>
      <c r="B81" s="17"/>
      <c r="C81" s="17"/>
      <c r="D81" s="17"/>
      <c r="E81" s="17"/>
      <c r="F81" s="25"/>
      <c r="G81" s="25">
        <f t="shared" si="0"/>
        <v>0</v>
      </c>
      <c r="H81" s="17"/>
      <c r="I81" s="17" t="s">
        <v>579</v>
      </c>
    </row>
    <row r="82" spans="1:9" x14ac:dyDescent="0.25">
      <c r="A82" s="11"/>
      <c r="B82" s="17"/>
      <c r="C82" s="17"/>
      <c r="D82" s="17"/>
      <c r="E82" s="17"/>
      <c r="F82" s="25"/>
      <c r="G82" s="25">
        <f t="shared" si="0"/>
        <v>0</v>
      </c>
      <c r="H82" s="17"/>
      <c r="I82" s="17" t="s">
        <v>580</v>
      </c>
    </row>
    <row r="83" spans="1:9" x14ac:dyDescent="0.25">
      <c r="A83" s="11"/>
      <c r="B83" s="17"/>
      <c r="C83" s="17"/>
      <c r="D83" s="17"/>
      <c r="E83" s="17"/>
      <c r="F83" s="25"/>
      <c r="G83" s="25">
        <f t="shared" si="0"/>
        <v>0</v>
      </c>
      <c r="H83" s="17"/>
      <c r="I83" s="17" t="s">
        <v>581</v>
      </c>
    </row>
    <row r="84" spans="1:9" x14ac:dyDescent="0.25">
      <c r="A84" s="11"/>
      <c r="B84" s="17"/>
      <c r="C84" s="17"/>
      <c r="D84" s="17"/>
      <c r="E84" s="17"/>
      <c r="F84" s="25"/>
      <c r="G84" s="25">
        <f t="shared" si="0"/>
        <v>0</v>
      </c>
      <c r="H84" s="17"/>
      <c r="I84" s="17" t="s">
        <v>582</v>
      </c>
    </row>
    <row r="85" spans="1:9" x14ac:dyDescent="0.25">
      <c r="A85" s="11"/>
      <c r="B85" s="17"/>
      <c r="C85" s="17"/>
      <c r="D85" s="17"/>
      <c r="E85" s="17"/>
      <c r="F85" s="25"/>
      <c r="G85" s="25">
        <f t="shared" si="0"/>
        <v>0</v>
      </c>
      <c r="H85" s="17"/>
      <c r="I85" s="17" t="s">
        <v>583</v>
      </c>
    </row>
    <row r="86" spans="1:9" x14ac:dyDescent="0.25">
      <c r="A86" s="11"/>
      <c r="B86" s="17"/>
      <c r="C86" s="17"/>
      <c r="D86" s="17"/>
      <c r="E86" s="17"/>
      <c r="F86" s="25"/>
      <c r="G86" s="25">
        <f t="shared" si="0"/>
        <v>0</v>
      </c>
      <c r="H86" s="17"/>
      <c r="I86" s="17" t="s">
        <v>584</v>
      </c>
    </row>
    <row r="87" spans="1:9" x14ac:dyDescent="0.25">
      <c r="A87" s="11"/>
      <c r="B87" s="17"/>
      <c r="C87" s="17"/>
      <c r="D87" s="17"/>
      <c r="E87" s="17"/>
      <c r="F87" s="25"/>
      <c r="G87" s="25">
        <f t="shared" si="0"/>
        <v>0</v>
      </c>
      <c r="H87" s="17"/>
      <c r="I87" s="17" t="s">
        <v>585</v>
      </c>
    </row>
    <row r="88" spans="1:9" x14ac:dyDescent="0.25">
      <c r="A88" s="11"/>
      <c r="B88" s="17"/>
      <c r="C88" s="17"/>
      <c r="D88" s="17"/>
      <c r="E88" s="17"/>
      <c r="F88" s="25"/>
      <c r="G88" s="25">
        <f t="shared" si="0"/>
        <v>0</v>
      </c>
      <c r="H88" s="17"/>
      <c r="I88" s="17" t="s">
        <v>586</v>
      </c>
    </row>
    <row r="89" spans="1:9" x14ac:dyDescent="0.25">
      <c r="A89" s="11"/>
      <c r="B89" s="17"/>
      <c r="C89" s="17"/>
      <c r="D89" s="17"/>
      <c r="E89" s="17"/>
      <c r="F89" s="25"/>
      <c r="G89" s="25">
        <f t="shared" si="0"/>
        <v>0</v>
      </c>
      <c r="H89" s="17"/>
      <c r="I89" s="17" t="s">
        <v>587</v>
      </c>
    </row>
    <row r="90" spans="1:9" x14ac:dyDescent="0.25">
      <c r="A90" s="11"/>
      <c r="B90" s="17"/>
      <c r="C90" s="17"/>
      <c r="D90" s="17"/>
      <c r="E90" s="17"/>
      <c r="F90" s="25"/>
      <c r="G90" s="25">
        <f t="shared" si="0"/>
        <v>0</v>
      </c>
      <c r="H90" s="17"/>
      <c r="I90" s="17" t="s">
        <v>588</v>
      </c>
    </row>
    <row r="91" spans="1:9" x14ac:dyDescent="0.25">
      <c r="A91" s="11"/>
      <c r="B91" s="17"/>
      <c r="C91" s="17"/>
      <c r="D91" s="17"/>
      <c r="E91" s="17"/>
      <c r="F91" s="25"/>
      <c r="G91" s="25">
        <f t="shared" si="0"/>
        <v>0</v>
      </c>
      <c r="H91" s="17"/>
      <c r="I91" s="17" t="s">
        <v>589</v>
      </c>
    </row>
    <row r="92" spans="1:9" x14ac:dyDescent="0.25">
      <c r="A92" s="11"/>
      <c r="B92" s="17"/>
      <c r="C92" s="17"/>
      <c r="D92" s="17"/>
      <c r="E92" s="17"/>
      <c r="F92" s="25"/>
      <c r="G92" s="25">
        <f t="shared" si="0"/>
        <v>0</v>
      </c>
      <c r="H92" s="17"/>
      <c r="I92" s="17" t="s">
        <v>590</v>
      </c>
    </row>
    <row r="93" spans="1:9" x14ac:dyDescent="0.25">
      <c r="A93" s="11"/>
      <c r="B93" s="17"/>
      <c r="C93" s="17"/>
      <c r="D93" s="17"/>
      <c r="E93" s="17"/>
      <c r="F93" s="25"/>
      <c r="G93" s="25">
        <f t="shared" si="0"/>
        <v>0</v>
      </c>
      <c r="H93" s="17"/>
      <c r="I93" s="17" t="s">
        <v>591</v>
      </c>
    </row>
    <row r="94" spans="1:9" x14ac:dyDescent="0.25">
      <c r="A94" s="11"/>
      <c r="B94" s="17"/>
      <c r="C94" s="17"/>
      <c r="D94" s="17"/>
      <c r="E94" s="17"/>
      <c r="F94" s="25"/>
      <c r="G94" s="25">
        <f t="shared" si="0"/>
        <v>0</v>
      </c>
      <c r="H94" s="17"/>
      <c r="I94" s="17" t="s">
        <v>592</v>
      </c>
    </row>
    <row r="95" spans="1:9" x14ac:dyDescent="0.25">
      <c r="A95" s="11"/>
      <c r="B95" s="17"/>
      <c r="C95" s="17"/>
      <c r="D95" s="17"/>
      <c r="E95" s="17"/>
      <c r="F95" s="25"/>
      <c r="G95" s="25">
        <f t="shared" si="0"/>
        <v>0</v>
      </c>
      <c r="H95" s="17"/>
      <c r="I95" s="17" t="s">
        <v>593</v>
      </c>
    </row>
    <row r="96" spans="1:9" x14ac:dyDescent="0.25">
      <c r="A96" s="11"/>
      <c r="B96" s="17"/>
      <c r="C96" s="17"/>
      <c r="D96" s="17"/>
      <c r="E96" s="17"/>
      <c r="F96" s="25"/>
      <c r="G96" s="25">
        <f t="shared" si="0"/>
        <v>0</v>
      </c>
      <c r="H96" s="17"/>
      <c r="I96" s="17" t="s">
        <v>594</v>
      </c>
    </row>
    <row r="97" spans="1:9" x14ac:dyDescent="0.25">
      <c r="A97" s="11"/>
      <c r="B97" s="17"/>
      <c r="C97" s="17"/>
      <c r="D97" s="17"/>
      <c r="E97" s="17"/>
      <c r="F97" s="25"/>
      <c r="G97" s="25">
        <f t="shared" si="0"/>
        <v>0</v>
      </c>
      <c r="H97" s="17"/>
      <c r="I97" s="17" t="s">
        <v>595</v>
      </c>
    </row>
    <row r="98" spans="1:9" x14ac:dyDescent="0.25">
      <c r="A98" s="11"/>
      <c r="B98" s="17"/>
      <c r="C98" s="17"/>
      <c r="D98" s="17"/>
      <c r="E98" s="17"/>
      <c r="F98" s="25"/>
      <c r="G98" s="25">
        <f t="shared" si="0"/>
        <v>0</v>
      </c>
      <c r="H98" s="17"/>
      <c r="I98" s="17" t="s">
        <v>596</v>
      </c>
    </row>
    <row r="99" spans="1:9" x14ac:dyDescent="0.25">
      <c r="A99" s="11"/>
      <c r="B99" s="17"/>
      <c r="C99" s="17"/>
      <c r="D99" s="17"/>
      <c r="E99" s="17"/>
      <c r="F99" s="25"/>
      <c r="G99" s="25">
        <f t="shared" si="0"/>
        <v>0</v>
      </c>
      <c r="H99" s="17"/>
      <c r="I99" s="17" t="s">
        <v>597</v>
      </c>
    </row>
    <row r="100" spans="1:9" x14ac:dyDescent="0.25">
      <c r="A100" s="11"/>
      <c r="B100" s="17"/>
      <c r="C100" s="17"/>
      <c r="D100" s="17"/>
      <c r="E100" s="17"/>
      <c r="F100" s="25"/>
      <c r="G100" s="25">
        <f t="shared" si="0"/>
        <v>0</v>
      </c>
      <c r="H100" s="17"/>
      <c r="I100" s="17" t="s">
        <v>598</v>
      </c>
    </row>
    <row r="101" spans="1:9" x14ac:dyDescent="0.25">
      <c r="A101" s="11"/>
      <c r="B101" s="17"/>
      <c r="C101" s="17"/>
      <c r="D101" s="17"/>
      <c r="E101" s="17"/>
      <c r="F101" s="25"/>
      <c r="G101" s="25">
        <f t="shared" si="0"/>
        <v>0</v>
      </c>
      <c r="H101" s="17"/>
      <c r="I101" s="17" t="s">
        <v>599</v>
      </c>
    </row>
    <row r="102" spans="1:9" x14ac:dyDescent="0.25">
      <c r="A102" s="11"/>
      <c r="B102" s="17"/>
      <c r="C102" s="17"/>
      <c r="D102" s="17"/>
      <c r="E102" s="17"/>
      <c r="F102" s="25"/>
      <c r="G102" s="25">
        <f t="shared" si="0"/>
        <v>0</v>
      </c>
      <c r="H102" s="17"/>
      <c r="I102" s="17" t="s">
        <v>600</v>
      </c>
    </row>
    <row r="103" spans="1:9" x14ac:dyDescent="0.25">
      <c r="A103" s="11"/>
      <c r="B103" s="17"/>
      <c r="C103" s="17"/>
      <c r="D103" s="17"/>
      <c r="E103" s="17"/>
      <c r="F103" s="25"/>
      <c r="G103" s="25">
        <f t="shared" si="0"/>
        <v>0</v>
      </c>
      <c r="H103" s="17"/>
      <c r="I103" s="17" t="s">
        <v>601</v>
      </c>
    </row>
    <row r="104" spans="1:9" x14ac:dyDescent="0.25">
      <c r="A104" s="11"/>
      <c r="B104" s="17"/>
      <c r="C104" s="17"/>
      <c r="D104" s="17"/>
      <c r="E104" s="17"/>
      <c r="F104" s="25"/>
      <c r="G104" s="25">
        <f t="shared" si="0"/>
        <v>0</v>
      </c>
      <c r="H104" s="17"/>
      <c r="I104" s="17" t="s">
        <v>602</v>
      </c>
    </row>
    <row r="105" spans="1:9" x14ac:dyDescent="0.25">
      <c r="A105" s="11"/>
      <c r="B105" s="17"/>
      <c r="C105" s="17"/>
      <c r="D105" s="17"/>
      <c r="E105" s="17"/>
      <c r="F105" s="25"/>
      <c r="G105" s="25">
        <f t="shared" si="0"/>
        <v>0</v>
      </c>
      <c r="H105" s="17"/>
      <c r="I105" s="17" t="s">
        <v>603</v>
      </c>
    </row>
    <row r="106" spans="1:9" x14ac:dyDescent="0.25">
      <c r="A106" s="11"/>
      <c r="B106" s="17"/>
      <c r="C106" s="17"/>
      <c r="D106" s="17"/>
      <c r="E106" s="17"/>
      <c r="F106" s="25"/>
      <c r="G106" s="25">
        <f t="shared" si="0"/>
        <v>0</v>
      </c>
      <c r="H106" s="17"/>
      <c r="I106" s="17" t="s">
        <v>604</v>
      </c>
    </row>
    <row r="107" spans="1:9" x14ac:dyDescent="0.25">
      <c r="A107" s="11"/>
      <c r="B107" s="17"/>
      <c r="C107" s="17"/>
      <c r="D107" s="17"/>
      <c r="E107" s="17"/>
      <c r="F107" s="25"/>
      <c r="G107" s="25">
        <f t="shared" si="0"/>
        <v>0</v>
      </c>
      <c r="H107" s="17"/>
      <c r="I107" s="17" t="s">
        <v>605</v>
      </c>
    </row>
    <row r="108" spans="1:9" x14ac:dyDescent="0.25">
      <c r="A108" s="11"/>
      <c r="B108" s="17"/>
      <c r="C108" s="17"/>
      <c r="D108" s="17"/>
      <c r="E108" s="17"/>
      <c r="F108" s="25"/>
      <c r="G108" s="25">
        <f t="shared" si="0"/>
        <v>0</v>
      </c>
      <c r="H108" s="17"/>
      <c r="I108" s="17" t="s">
        <v>606</v>
      </c>
    </row>
    <row r="109" spans="1:9" x14ac:dyDescent="0.25">
      <c r="A109" s="11"/>
      <c r="B109" s="17"/>
      <c r="C109" s="17"/>
      <c r="D109" s="17"/>
      <c r="E109" s="17"/>
      <c r="F109" s="25"/>
      <c r="G109" s="25">
        <f t="shared" si="0"/>
        <v>0</v>
      </c>
      <c r="H109" s="17"/>
      <c r="I109" s="17" t="s">
        <v>607</v>
      </c>
    </row>
    <row r="110" spans="1:9" x14ac:dyDescent="0.25">
      <c r="A110" s="11"/>
      <c r="B110" s="17"/>
      <c r="C110" s="17"/>
      <c r="D110" s="17"/>
      <c r="E110" s="17"/>
      <c r="F110" s="25"/>
      <c r="G110" s="25">
        <f t="shared" si="0"/>
        <v>0</v>
      </c>
      <c r="H110" s="17"/>
      <c r="I110" s="17" t="s">
        <v>608</v>
      </c>
    </row>
    <row r="111" spans="1:9" x14ac:dyDescent="0.25">
      <c r="A111" s="11"/>
      <c r="B111" s="17"/>
      <c r="C111" s="17"/>
      <c r="D111" s="17"/>
      <c r="E111" s="17"/>
      <c r="F111" s="25"/>
      <c r="G111" s="25">
        <f t="shared" si="0"/>
        <v>0</v>
      </c>
      <c r="H111" s="17"/>
      <c r="I111" s="17" t="s">
        <v>609</v>
      </c>
    </row>
    <row r="112" spans="1:9" x14ac:dyDescent="0.25">
      <c r="A112" s="11"/>
      <c r="B112" s="17"/>
      <c r="C112" s="17"/>
      <c r="D112" s="17"/>
      <c r="E112" s="17"/>
      <c r="F112" s="25"/>
      <c r="G112" s="25">
        <f t="shared" si="0"/>
        <v>0</v>
      </c>
      <c r="H112" s="17"/>
      <c r="I112" s="17" t="s">
        <v>610</v>
      </c>
    </row>
    <row r="113" spans="1:9" x14ac:dyDescent="0.25">
      <c r="A113" s="11"/>
      <c r="B113" s="17"/>
      <c r="C113" s="17"/>
      <c r="D113" s="17"/>
      <c r="E113" s="17"/>
      <c r="F113" s="25"/>
      <c r="G113" s="25">
        <f t="shared" si="0"/>
        <v>0</v>
      </c>
      <c r="H113" s="17"/>
      <c r="I113" s="17" t="s">
        <v>611</v>
      </c>
    </row>
    <row r="114" spans="1:9" x14ac:dyDescent="0.25">
      <c r="A114" s="11"/>
      <c r="B114" s="17"/>
      <c r="C114" s="17"/>
      <c r="D114" s="17"/>
      <c r="E114" s="17"/>
      <c r="F114" s="25"/>
      <c r="G114" s="25">
        <f t="shared" si="0"/>
        <v>0</v>
      </c>
      <c r="H114" s="17"/>
      <c r="I114" s="17" t="s">
        <v>612</v>
      </c>
    </row>
    <row r="115" spans="1:9" x14ac:dyDescent="0.25">
      <c r="A115" s="11"/>
      <c r="B115" s="17"/>
      <c r="C115" s="17"/>
      <c r="D115" s="17"/>
      <c r="E115" s="17"/>
      <c r="F115" s="25"/>
      <c r="G115" s="25">
        <f t="shared" si="0"/>
        <v>0</v>
      </c>
      <c r="H115" s="17"/>
      <c r="I115" s="17" t="s">
        <v>613</v>
      </c>
    </row>
    <row r="116" spans="1:9" x14ac:dyDescent="0.25">
      <c r="A116" s="11"/>
      <c r="B116" s="17"/>
      <c r="C116" s="17"/>
      <c r="D116" s="17"/>
      <c r="E116" s="17"/>
      <c r="F116" s="25"/>
      <c r="G116" s="25">
        <f t="shared" si="0"/>
        <v>0</v>
      </c>
      <c r="H116" s="17"/>
      <c r="I116" s="17" t="s">
        <v>614</v>
      </c>
    </row>
    <row r="117" spans="1:9" x14ac:dyDescent="0.25">
      <c r="A117" s="11"/>
      <c r="B117" s="17"/>
      <c r="C117" s="17"/>
      <c r="D117" s="17"/>
      <c r="E117" s="17"/>
      <c r="F117" s="25"/>
      <c r="G117" s="25">
        <f t="shared" si="0"/>
        <v>0</v>
      </c>
      <c r="H117" s="17"/>
      <c r="I117" s="17" t="s">
        <v>615</v>
      </c>
    </row>
    <row r="118" spans="1:9" x14ac:dyDescent="0.25">
      <c r="A118" s="11"/>
      <c r="B118" s="17"/>
      <c r="C118" s="17"/>
      <c r="D118" s="17"/>
      <c r="E118" s="17"/>
      <c r="F118" s="25"/>
      <c r="G118" s="25">
        <f t="shared" si="0"/>
        <v>0</v>
      </c>
      <c r="H118" s="17"/>
      <c r="I118" s="17" t="s">
        <v>616</v>
      </c>
    </row>
    <row r="119" spans="1:9" x14ac:dyDescent="0.25">
      <c r="A119" s="11"/>
      <c r="B119" s="17"/>
      <c r="C119" s="17"/>
      <c r="D119" s="17"/>
      <c r="E119" s="17"/>
      <c r="F119" s="25"/>
      <c r="G119" s="25">
        <f t="shared" si="0"/>
        <v>0</v>
      </c>
      <c r="H119" s="17"/>
      <c r="I119" s="17" t="s">
        <v>617</v>
      </c>
    </row>
    <row r="120" spans="1:9" x14ac:dyDescent="0.25">
      <c r="A120" s="11"/>
      <c r="B120" s="17"/>
      <c r="C120" s="17"/>
      <c r="D120" s="17"/>
      <c r="E120" s="17"/>
      <c r="F120" s="25"/>
      <c r="G120" s="25">
        <f t="shared" si="0"/>
        <v>0</v>
      </c>
      <c r="H120" s="17"/>
      <c r="I120" s="17" t="s">
        <v>618</v>
      </c>
    </row>
    <row r="121" spans="1:9" x14ac:dyDescent="0.25">
      <c r="A121" s="11"/>
      <c r="B121" s="17"/>
      <c r="C121" s="17"/>
      <c r="D121" s="17"/>
      <c r="E121" s="17"/>
      <c r="F121" s="25"/>
      <c r="G121" s="25">
        <f t="shared" si="0"/>
        <v>0</v>
      </c>
      <c r="H121" s="17"/>
      <c r="I121" s="17" t="s">
        <v>619</v>
      </c>
    </row>
    <row r="122" spans="1:9" x14ac:dyDescent="0.25">
      <c r="A122" s="11"/>
      <c r="B122" s="17"/>
      <c r="C122" s="17"/>
      <c r="D122" s="17"/>
      <c r="E122" s="17"/>
      <c r="F122" s="25"/>
      <c r="G122" s="25">
        <f t="shared" si="0"/>
        <v>0</v>
      </c>
      <c r="H122" s="17"/>
      <c r="I122" s="17" t="s">
        <v>620</v>
      </c>
    </row>
    <row r="123" spans="1:9" x14ac:dyDescent="0.25">
      <c r="A123" s="11"/>
      <c r="B123" s="17"/>
      <c r="C123" s="17"/>
      <c r="D123" s="17"/>
      <c r="E123" s="17"/>
      <c r="F123" s="25"/>
      <c r="G123" s="25">
        <f t="shared" si="0"/>
        <v>0</v>
      </c>
      <c r="H123" s="17"/>
      <c r="I123" s="17" t="s">
        <v>621</v>
      </c>
    </row>
    <row r="124" spans="1:9" x14ac:dyDescent="0.25">
      <c r="A124" s="11"/>
      <c r="B124" s="17"/>
      <c r="C124" s="17"/>
      <c r="D124" s="17"/>
      <c r="E124" s="17"/>
      <c r="F124" s="25"/>
      <c r="G124" s="25">
        <f t="shared" si="0"/>
        <v>0</v>
      </c>
      <c r="H124" s="17"/>
      <c r="I124" s="17" t="s">
        <v>622</v>
      </c>
    </row>
    <row r="125" spans="1:9" x14ac:dyDescent="0.25">
      <c r="A125" s="11"/>
      <c r="B125" s="17"/>
      <c r="C125" s="17"/>
      <c r="D125" s="17"/>
      <c r="E125" s="17"/>
      <c r="F125" s="25"/>
      <c r="G125" s="25">
        <f t="shared" si="0"/>
        <v>0</v>
      </c>
      <c r="H125" s="17"/>
      <c r="I125" s="17" t="s">
        <v>623</v>
      </c>
    </row>
    <row r="126" spans="1:9" x14ac:dyDescent="0.25">
      <c r="A126" s="11"/>
      <c r="B126" s="17"/>
      <c r="C126" s="17"/>
      <c r="D126" s="17"/>
      <c r="E126" s="17"/>
      <c r="F126" s="25"/>
      <c r="G126" s="25">
        <f t="shared" si="0"/>
        <v>0</v>
      </c>
      <c r="H126" s="17"/>
      <c r="I126" s="17" t="s">
        <v>624</v>
      </c>
    </row>
    <row r="127" spans="1:9" x14ac:dyDescent="0.25">
      <c r="A127" s="11"/>
      <c r="B127" s="17"/>
      <c r="C127" s="17"/>
      <c r="D127" s="17"/>
      <c r="E127" s="17"/>
      <c r="F127" s="25"/>
      <c r="G127" s="25">
        <f t="shared" si="0"/>
        <v>0</v>
      </c>
      <c r="H127" s="17"/>
      <c r="I127" s="17" t="s">
        <v>625</v>
      </c>
    </row>
    <row r="128" spans="1:9" x14ac:dyDescent="0.25">
      <c r="A128" s="11"/>
      <c r="B128" s="17"/>
      <c r="C128" s="17"/>
      <c r="D128" s="17"/>
      <c r="E128" s="17"/>
      <c r="F128" s="25"/>
      <c r="G128" s="25">
        <f t="shared" si="0"/>
        <v>0</v>
      </c>
      <c r="H128" s="17"/>
      <c r="I128" s="17" t="s">
        <v>626</v>
      </c>
    </row>
    <row r="129" spans="1:9" x14ac:dyDescent="0.25">
      <c r="A129" s="11"/>
      <c r="B129" s="17"/>
      <c r="C129" s="17"/>
      <c r="D129" s="17"/>
      <c r="E129" s="17"/>
      <c r="F129" s="25"/>
      <c r="G129" s="25">
        <f t="shared" si="0"/>
        <v>0</v>
      </c>
      <c r="H129" s="17"/>
      <c r="I129" s="17" t="s">
        <v>627</v>
      </c>
    </row>
    <row r="130" spans="1:9" x14ac:dyDescent="0.25">
      <c r="A130" s="11"/>
      <c r="B130" s="17"/>
      <c r="C130" s="17"/>
      <c r="D130" s="17"/>
      <c r="E130" s="17"/>
      <c r="F130" s="25"/>
      <c r="G130" s="25">
        <f t="shared" si="0"/>
        <v>0</v>
      </c>
      <c r="H130" s="17"/>
      <c r="I130" s="17" t="s">
        <v>628</v>
      </c>
    </row>
    <row r="131" spans="1:9" x14ac:dyDescent="0.25">
      <c r="A131" s="11"/>
      <c r="B131" s="17"/>
      <c r="C131" s="17"/>
      <c r="D131" s="17"/>
      <c r="E131" s="17"/>
      <c r="F131" s="25"/>
      <c r="G131" s="25">
        <f t="shared" si="0"/>
        <v>0</v>
      </c>
      <c r="H131" s="17"/>
      <c r="I131" s="17" t="s">
        <v>629</v>
      </c>
    </row>
    <row r="132" spans="1:9" x14ac:dyDescent="0.25">
      <c r="A132" s="11"/>
      <c r="B132" s="17"/>
      <c r="C132" s="17"/>
      <c r="D132" s="17"/>
      <c r="E132" s="17"/>
      <c r="F132" s="25"/>
      <c r="G132" s="25">
        <f t="shared" si="0"/>
        <v>0</v>
      </c>
      <c r="H132" s="17"/>
      <c r="I132" s="17" t="s">
        <v>630</v>
      </c>
    </row>
    <row r="133" spans="1:9" x14ac:dyDescent="0.25">
      <c r="A133" s="11"/>
      <c r="B133" s="17"/>
      <c r="C133" s="17"/>
      <c r="D133" s="17"/>
      <c r="E133" s="17"/>
      <c r="F133" s="25"/>
      <c r="G133" s="25">
        <f t="shared" si="0"/>
        <v>0</v>
      </c>
      <c r="H133" s="17"/>
      <c r="I133" s="17" t="s">
        <v>631</v>
      </c>
    </row>
    <row r="134" spans="1:9" x14ac:dyDescent="0.25">
      <c r="A134" s="11"/>
      <c r="B134" s="17"/>
      <c r="C134" s="17"/>
      <c r="D134" s="17"/>
      <c r="E134" s="17"/>
      <c r="F134" s="25"/>
      <c r="G134" s="25">
        <f t="shared" si="0"/>
        <v>0</v>
      </c>
      <c r="H134" s="17"/>
      <c r="I134" s="17" t="s">
        <v>632</v>
      </c>
    </row>
    <row r="135" spans="1:9" x14ac:dyDescent="0.25">
      <c r="A135" s="11"/>
      <c r="B135" s="17"/>
      <c r="C135" s="17"/>
      <c r="D135" s="17"/>
      <c r="E135" s="17"/>
      <c r="F135" s="25"/>
      <c r="G135" s="25">
        <f t="shared" si="0"/>
        <v>0</v>
      </c>
      <c r="H135" s="17"/>
      <c r="I135" s="17" t="s">
        <v>633</v>
      </c>
    </row>
    <row r="136" spans="1:9" x14ac:dyDescent="0.25">
      <c r="A136" s="11"/>
      <c r="B136" s="17"/>
      <c r="C136" s="17"/>
      <c r="D136" s="17"/>
      <c r="E136" s="17"/>
      <c r="F136" s="25"/>
      <c r="G136" s="25">
        <f t="shared" si="0"/>
        <v>0</v>
      </c>
      <c r="H136" s="17"/>
      <c r="I136" s="17" t="s">
        <v>634</v>
      </c>
    </row>
    <row r="137" spans="1:9" x14ac:dyDescent="0.25">
      <c r="A137" s="11"/>
      <c r="B137" s="17"/>
      <c r="C137" s="17"/>
      <c r="D137" s="17"/>
      <c r="E137" s="17"/>
      <c r="F137" s="25"/>
      <c r="G137" s="25">
        <f t="shared" si="0"/>
        <v>0</v>
      </c>
      <c r="H137" s="17"/>
      <c r="I137" s="17" t="s">
        <v>635</v>
      </c>
    </row>
    <row r="138" spans="1:9" x14ac:dyDescent="0.25">
      <c r="A138" s="11"/>
      <c r="B138" s="17"/>
      <c r="C138" s="17"/>
      <c r="D138" s="17"/>
      <c r="E138" s="17"/>
      <c r="F138" s="25"/>
      <c r="G138" s="25">
        <f t="shared" si="0"/>
        <v>0</v>
      </c>
      <c r="H138" s="17"/>
      <c r="I138" s="17" t="s">
        <v>636</v>
      </c>
    </row>
    <row r="139" spans="1:9" x14ac:dyDescent="0.25">
      <c r="A139" s="11"/>
      <c r="B139" s="17"/>
      <c r="C139" s="17"/>
      <c r="D139" s="17"/>
      <c r="E139" s="17"/>
      <c r="F139" s="25"/>
      <c r="G139" s="25">
        <f t="shared" si="0"/>
        <v>0</v>
      </c>
      <c r="H139" s="17"/>
      <c r="I139" s="17" t="s">
        <v>637</v>
      </c>
    </row>
    <row r="140" spans="1:9" x14ac:dyDescent="0.25">
      <c r="A140" s="11"/>
      <c r="B140" s="17"/>
      <c r="C140" s="17"/>
      <c r="D140" s="17"/>
      <c r="E140" s="17"/>
      <c r="F140" s="25"/>
      <c r="G140" s="25">
        <f t="shared" si="0"/>
        <v>0</v>
      </c>
      <c r="H140" s="17"/>
      <c r="I140" s="17" t="s">
        <v>638</v>
      </c>
    </row>
    <row r="141" spans="1:9" x14ac:dyDescent="0.25">
      <c r="A141" s="11"/>
      <c r="B141" s="17"/>
      <c r="C141" s="17"/>
      <c r="D141" s="17"/>
      <c r="E141" s="17"/>
      <c r="F141" s="25"/>
      <c r="G141" s="25">
        <f t="shared" si="0"/>
        <v>0</v>
      </c>
      <c r="H141" s="17"/>
      <c r="I141" s="17" t="s">
        <v>639</v>
      </c>
    </row>
    <row r="142" spans="1:9" x14ac:dyDescent="0.25">
      <c r="A142" s="11"/>
      <c r="B142" s="17"/>
      <c r="C142" s="17"/>
      <c r="D142" s="17"/>
      <c r="E142" s="17"/>
      <c r="F142" s="25"/>
      <c r="G142" s="25">
        <f t="shared" si="0"/>
        <v>0</v>
      </c>
      <c r="H142" s="17"/>
      <c r="I142" s="17" t="s">
        <v>640</v>
      </c>
    </row>
    <row r="143" spans="1:9" x14ac:dyDescent="0.25">
      <c r="A143" s="11"/>
      <c r="B143" s="17"/>
      <c r="C143" s="17"/>
      <c r="D143" s="17"/>
      <c r="E143" s="17"/>
      <c r="F143" s="25"/>
      <c r="G143" s="25">
        <f t="shared" si="0"/>
        <v>0</v>
      </c>
      <c r="H143" s="17"/>
      <c r="I143" s="17" t="s">
        <v>641</v>
      </c>
    </row>
    <row r="144" spans="1:9" x14ac:dyDescent="0.25">
      <c r="A144" s="11"/>
      <c r="B144" s="17"/>
      <c r="C144" s="17"/>
      <c r="D144" s="17"/>
      <c r="E144" s="17"/>
      <c r="F144" s="25"/>
      <c r="G144" s="25">
        <f t="shared" si="0"/>
        <v>0</v>
      </c>
      <c r="H144" s="17"/>
      <c r="I144" s="17" t="s">
        <v>642</v>
      </c>
    </row>
    <row r="145" spans="1:9" x14ac:dyDescent="0.25">
      <c r="A145" s="11"/>
      <c r="B145" s="17"/>
      <c r="C145" s="17"/>
      <c r="D145" s="17"/>
      <c r="E145" s="17"/>
      <c r="F145" s="25"/>
      <c r="G145" s="25">
        <f t="shared" si="0"/>
        <v>0</v>
      </c>
      <c r="H145" s="17"/>
      <c r="I145" s="17" t="s">
        <v>643</v>
      </c>
    </row>
    <row r="146" spans="1:9" x14ac:dyDescent="0.25">
      <c r="A146" s="11"/>
      <c r="B146" s="17"/>
      <c r="C146" s="17"/>
      <c r="D146" s="17"/>
      <c r="E146" s="17"/>
      <c r="F146" s="25"/>
      <c r="G146" s="25">
        <f t="shared" si="0"/>
        <v>0</v>
      </c>
      <c r="H146" s="17"/>
      <c r="I146" s="17" t="s">
        <v>644</v>
      </c>
    </row>
    <row r="147" spans="1:9" x14ac:dyDescent="0.25">
      <c r="A147" s="11"/>
      <c r="B147" s="17"/>
      <c r="C147" s="17"/>
      <c r="D147" s="17"/>
      <c r="E147" s="17"/>
      <c r="F147" s="25"/>
      <c r="G147" s="25">
        <f t="shared" si="0"/>
        <v>0</v>
      </c>
      <c r="H147" s="17"/>
      <c r="I147" s="17" t="s">
        <v>645</v>
      </c>
    </row>
    <row r="148" spans="1:9" x14ac:dyDescent="0.25">
      <c r="A148" s="11"/>
      <c r="B148" s="17"/>
      <c r="C148" s="17"/>
      <c r="D148" s="17"/>
      <c r="E148" s="17"/>
      <c r="F148" s="25"/>
      <c r="G148" s="25">
        <f t="shared" si="0"/>
        <v>0</v>
      </c>
      <c r="H148" s="17"/>
      <c r="I148" s="17" t="s">
        <v>646</v>
      </c>
    </row>
    <row r="149" spans="1:9" x14ac:dyDescent="0.25">
      <c r="A149" s="11"/>
      <c r="B149" s="17"/>
      <c r="C149" s="17"/>
      <c r="D149" s="17"/>
      <c r="E149" s="17"/>
      <c r="F149" s="25"/>
      <c r="G149" s="25">
        <f t="shared" si="0"/>
        <v>0</v>
      </c>
      <c r="H149" s="17"/>
      <c r="I149" s="17" t="s">
        <v>647</v>
      </c>
    </row>
    <row r="150" spans="1:9" x14ac:dyDescent="0.25">
      <c r="A150" s="11"/>
      <c r="B150" s="17"/>
      <c r="C150" s="17"/>
      <c r="D150" s="17"/>
      <c r="E150" s="17"/>
      <c r="F150" s="25"/>
      <c r="G150" s="25">
        <f t="shared" si="0"/>
        <v>0</v>
      </c>
      <c r="H150" s="17"/>
      <c r="I150" s="17" t="s">
        <v>648</v>
      </c>
    </row>
    <row r="151" spans="1:9" x14ac:dyDescent="0.25">
      <c r="A151" s="11"/>
      <c r="B151" s="17"/>
      <c r="C151" s="17"/>
      <c r="D151" s="17"/>
      <c r="E151" s="17"/>
      <c r="F151" s="25"/>
      <c r="G151" s="25">
        <f t="shared" si="0"/>
        <v>0</v>
      </c>
      <c r="H151" s="17"/>
      <c r="I151" s="17" t="s">
        <v>649</v>
      </c>
    </row>
    <row r="152" spans="1:9" x14ac:dyDescent="0.25">
      <c r="A152" s="11"/>
      <c r="B152" s="17"/>
      <c r="C152" s="17"/>
      <c r="D152" s="17"/>
      <c r="E152" s="17"/>
      <c r="F152" s="25"/>
      <c r="G152" s="25">
        <f t="shared" si="0"/>
        <v>0</v>
      </c>
      <c r="H152" s="17"/>
      <c r="I152" s="17" t="s">
        <v>650</v>
      </c>
    </row>
    <row r="153" spans="1:9" x14ac:dyDescent="0.25">
      <c r="A153" s="11"/>
      <c r="B153" s="17"/>
      <c r="C153" s="17"/>
      <c r="D153" s="17"/>
      <c r="E153" s="17"/>
      <c r="F153" s="25"/>
      <c r="G153" s="25">
        <f t="shared" si="0"/>
        <v>0</v>
      </c>
      <c r="H153" s="17"/>
      <c r="I153" s="17" t="s">
        <v>651</v>
      </c>
    </row>
    <row r="154" spans="1:9" x14ac:dyDescent="0.25">
      <c r="A154" s="11"/>
      <c r="B154" s="17"/>
      <c r="C154" s="17"/>
      <c r="D154" s="17"/>
      <c r="E154" s="17"/>
      <c r="F154" s="25"/>
      <c r="G154" s="25">
        <f t="shared" si="0"/>
        <v>0</v>
      </c>
      <c r="H154" s="17"/>
      <c r="I154" s="17" t="s">
        <v>652</v>
      </c>
    </row>
    <row r="155" spans="1:9" x14ac:dyDescent="0.25">
      <c r="A155" s="11"/>
      <c r="B155" s="17"/>
      <c r="C155" s="17"/>
      <c r="D155" s="17"/>
      <c r="E155" s="17"/>
      <c r="F155" s="25"/>
      <c r="G155" s="25">
        <f t="shared" si="0"/>
        <v>0</v>
      </c>
      <c r="H155" s="17"/>
      <c r="I155" s="17" t="s">
        <v>653</v>
      </c>
    </row>
    <row r="156" spans="1:9" x14ac:dyDescent="0.25">
      <c r="A156" s="11"/>
      <c r="B156" s="17"/>
      <c r="C156" s="17"/>
      <c r="D156" s="17"/>
      <c r="E156" s="17"/>
      <c r="F156" s="25"/>
      <c r="G156" s="25">
        <f t="shared" si="0"/>
        <v>0</v>
      </c>
      <c r="H156" s="17"/>
      <c r="I156" s="17" t="s">
        <v>654</v>
      </c>
    </row>
    <row r="157" spans="1:9" x14ac:dyDescent="0.25">
      <c r="A157" s="11"/>
      <c r="B157" s="17"/>
      <c r="C157" s="17"/>
      <c r="D157" s="17"/>
      <c r="E157" s="17"/>
      <c r="F157" s="25"/>
      <c r="G157" s="25">
        <f t="shared" si="0"/>
        <v>0</v>
      </c>
      <c r="H157" s="17"/>
      <c r="I157" s="17" t="s">
        <v>655</v>
      </c>
    </row>
    <row r="158" spans="1:9" x14ac:dyDescent="0.25">
      <c r="A158" s="11"/>
      <c r="B158" s="17"/>
      <c r="C158" s="17"/>
      <c r="D158" s="17"/>
      <c r="E158" s="17"/>
      <c r="F158" s="25"/>
      <c r="G158" s="25">
        <f t="shared" si="0"/>
        <v>0</v>
      </c>
      <c r="H158" s="17"/>
      <c r="I158" s="17" t="s">
        <v>656</v>
      </c>
    </row>
    <row r="159" spans="1:9" x14ac:dyDescent="0.25">
      <c r="A159" s="11"/>
      <c r="B159" s="17"/>
      <c r="C159" s="17"/>
      <c r="D159" s="17"/>
      <c r="E159" s="17"/>
      <c r="F159" s="25"/>
      <c r="G159" s="25">
        <f t="shared" si="0"/>
        <v>0</v>
      </c>
      <c r="H159" s="17"/>
      <c r="I159" s="17" t="s">
        <v>657</v>
      </c>
    </row>
    <row r="160" spans="1:9" x14ac:dyDescent="0.25">
      <c r="A160" s="11"/>
      <c r="B160" s="17"/>
      <c r="C160" s="17"/>
      <c r="D160" s="17"/>
      <c r="E160" s="17"/>
      <c r="F160" s="25"/>
      <c r="G160" s="25">
        <f t="shared" si="0"/>
        <v>0</v>
      </c>
      <c r="H160" s="17"/>
      <c r="I160" s="17" t="s">
        <v>658</v>
      </c>
    </row>
    <row r="161" spans="1:9" x14ac:dyDescent="0.25">
      <c r="A161" s="11"/>
      <c r="B161" s="17"/>
      <c r="C161" s="17"/>
      <c r="D161" s="17"/>
      <c r="E161" s="17"/>
      <c r="F161" s="25"/>
      <c r="G161" s="25">
        <f t="shared" si="0"/>
        <v>0</v>
      </c>
      <c r="H161" s="17"/>
      <c r="I161" s="17" t="s">
        <v>659</v>
      </c>
    </row>
    <row r="162" spans="1:9" x14ac:dyDescent="0.25">
      <c r="A162" s="11"/>
      <c r="B162" s="17"/>
      <c r="C162" s="17"/>
      <c r="D162" s="17"/>
      <c r="E162" s="17"/>
      <c r="F162" s="25"/>
      <c r="G162" s="25">
        <f t="shared" si="0"/>
        <v>0</v>
      </c>
      <c r="H162" s="17"/>
      <c r="I162" s="17" t="s">
        <v>660</v>
      </c>
    </row>
    <row r="163" spans="1:9" x14ac:dyDescent="0.25">
      <c r="A163" s="11"/>
      <c r="B163" s="17"/>
      <c r="C163" s="17"/>
      <c r="D163" s="17"/>
      <c r="E163" s="17"/>
      <c r="F163" s="25"/>
      <c r="G163" s="25">
        <f t="shared" si="0"/>
        <v>0</v>
      </c>
      <c r="H163" s="17"/>
      <c r="I163" s="17" t="s">
        <v>661</v>
      </c>
    </row>
    <row r="164" spans="1:9" x14ac:dyDescent="0.25">
      <c r="A164" s="11"/>
      <c r="B164" s="17"/>
      <c r="C164" s="17"/>
      <c r="D164" s="17"/>
      <c r="E164" s="17"/>
      <c r="F164" s="25"/>
      <c r="G164" s="25">
        <f t="shared" si="0"/>
        <v>0</v>
      </c>
      <c r="H164" s="17"/>
      <c r="I164" s="17" t="s">
        <v>662</v>
      </c>
    </row>
    <row r="165" spans="1:9" x14ac:dyDescent="0.25">
      <c r="A165" s="11"/>
      <c r="B165" s="17"/>
      <c r="C165" s="17"/>
      <c r="D165" s="17"/>
      <c r="E165" s="17"/>
      <c r="F165" s="25"/>
      <c r="G165" s="25">
        <f t="shared" si="0"/>
        <v>0</v>
      </c>
      <c r="H165" s="17"/>
      <c r="I165" s="17" t="s">
        <v>663</v>
      </c>
    </row>
    <row r="166" spans="1:9" x14ac:dyDescent="0.25">
      <c r="A166" s="11"/>
      <c r="B166" s="17"/>
      <c r="C166" s="17"/>
      <c r="D166" s="17"/>
      <c r="E166" s="17"/>
      <c r="F166" s="25"/>
      <c r="G166" s="25">
        <f t="shared" si="0"/>
        <v>0</v>
      </c>
      <c r="H166" s="17"/>
      <c r="I166" s="17" t="s">
        <v>664</v>
      </c>
    </row>
    <row r="167" spans="1:9" x14ac:dyDescent="0.25">
      <c r="A167" s="11"/>
      <c r="B167" s="17"/>
      <c r="C167" s="17"/>
      <c r="D167" s="17"/>
      <c r="E167" s="17"/>
      <c r="F167" s="25"/>
      <c r="G167" s="25">
        <f t="shared" si="0"/>
        <v>0</v>
      </c>
      <c r="H167" s="17"/>
      <c r="I167" s="17" t="s">
        <v>665</v>
      </c>
    </row>
    <row r="168" spans="1:9" x14ac:dyDescent="0.25">
      <c r="A168" s="11"/>
      <c r="B168" s="17"/>
      <c r="C168" s="17"/>
      <c r="D168" s="17"/>
      <c r="E168" s="17"/>
      <c r="F168" s="25"/>
      <c r="G168" s="25">
        <f t="shared" si="0"/>
        <v>0</v>
      </c>
      <c r="H168" s="17"/>
      <c r="I168" s="17" t="s">
        <v>666</v>
      </c>
    </row>
    <row r="169" spans="1:9" x14ac:dyDescent="0.25">
      <c r="A169" s="11"/>
      <c r="B169" s="17"/>
      <c r="C169" s="17"/>
      <c r="D169" s="17"/>
      <c r="E169" s="17"/>
      <c r="F169" s="25"/>
      <c r="G169" s="25">
        <f t="shared" si="0"/>
        <v>0</v>
      </c>
      <c r="H169" s="17"/>
      <c r="I169" s="17" t="s">
        <v>667</v>
      </c>
    </row>
    <row r="170" spans="1:9" x14ac:dyDescent="0.25">
      <c r="A170" s="11"/>
      <c r="B170" s="17"/>
      <c r="C170" s="17"/>
      <c r="D170" s="17"/>
      <c r="E170" s="17"/>
      <c r="F170" s="25"/>
      <c r="G170" s="25">
        <f t="shared" si="0"/>
        <v>0</v>
      </c>
      <c r="H170" s="17"/>
      <c r="I170" s="17" t="s">
        <v>668</v>
      </c>
    </row>
    <row r="171" spans="1:9" x14ac:dyDescent="0.25">
      <c r="A171" s="11"/>
      <c r="B171" s="17"/>
      <c r="C171" s="17"/>
      <c r="D171" s="17"/>
      <c r="E171" s="17"/>
      <c r="F171" s="25"/>
      <c r="G171" s="25">
        <f t="shared" si="0"/>
        <v>0</v>
      </c>
      <c r="H171" s="17"/>
      <c r="I171" s="17" t="s">
        <v>669</v>
      </c>
    </row>
    <row r="172" spans="1:9" x14ac:dyDescent="0.25">
      <c r="A172" s="11"/>
      <c r="B172" s="17"/>
      <c r="C172" s="17"/>
      <c r="D172" s="17"/>
      <c r="E172" s="17"/>
      <c r="F172" s="25"/>
      <c r="G172" s="25">
        <f t="shared" si="0"/>
        <v>0</v>
      </c>
      <c r="H172" s="17"/>
      <c r="I172" s="17" t="s">
        <v>670</v>
      </c>
    </row>
    <row r="173" spans="1:9" x14ac:dyDescent="0.25">
      <c r="A173" s="11"/>
      <c r="B173" s="17"/>
      <c r="C173" s="17"/>
      <c r="D173" s="17"/>
      <c r="E173" s="17"/>
      <c r="F173" s="25"/>
      <c r="G173" s="25">
        <f t="shared" si="0"/>
        <v>0</v>
      </c>
      <c r="H173" s="17"/>
      <c r="I173" s="17" t="s">
        <v>671</v>
      </c>
    </row>
    <row r="174" spans="1:9" x14ac:dyDescent="0.25">
      <c r="A174" s="11"/>
      <c r="B174" s="17"/>
      <c r="C174" s="17"/>
      <c r="D174" s="17"/>
      <c r="E174" s="17"/>
      <c r="F174" s="25"/>
      <c r="G174" s="25">
        <f t="shared" si="0"/>
        <v>0</v>
      </c>
      <c r="H174" s="17"/>
      <c r="I174" s="17" t="s">
        <v>672</v>
      </c>
    </row>
    <row r="175" spans="1:9" x14ac:dyDescent="0.25">
      <c r="A175" s="11"/>
      <c r="B175" s="17"/>
      <c r="C175" s="17"/>
      <c r="D175" s="17"/>
      <c r="E175" s="17"/>
      <c r="F175" s="25"/>
      <c r="G175" s="25">
        <f t="shared" si="0"/>
        <v>0</v>
      </c>
      <c r="H175" s="17"/>
      <c r="I175" s="17" t="s">
        <v>673</v>
      </c>
    </row>
    <row r="176" spans="1:9" x14ac:dyDescent="0.25">
      <c r="A176" s="11"/>
      <c r="B176" s="17"/>
      <c r="C176" s="17"/>
      <c r="D176" s="17"/>
      <c r="E176" s="17"/>
      <c r="F176" s="25"/>
      <c r="G176" s="25">
        <f t="shared" si="0"/>
        <v>0</v>
      </c>
      <c r="H176" s="17"/>
      <c r="I176" s="17" t="s">
        <v>674</v>
      </c>
    </row>
    <row r="177" spans="1:9" x14ac:dyDescent="0.25">
      <c r="A177" s="11"/>
      <c r="B177" s="17"/>
      <c r="C177" s="17"/>
      <c r="D177" s="17"/>
      <c r="E177" s="17"/>
      <c r="F177" s="25"/>
      <c r="G177" s="25">
        <f t="shared" si="0"/>
        <v>0</v>
      </c>
      <c r="H177" s="17"/>
      <c r="I177" s="17" t="s">
        <v>675</v>
      </c>
    </row>
    <row r="178" spans="1:9" x14ac:dyDescent="0.25">
      <c r="A178" s="11"/>
      <c r="B178" s="17"/>
      <c r="C178" s="17"/>
      <c r="D178" s="17"/>
      <c r="E178" s="17"/>
      <c r="F178" s="25"/>
      <c r="G178" s="25">
        <f t="shared" si="0"/>
        <v>0</v>
      </c>
      <c r="H178" s="17"/>
      <c r="I178" s="17" t="s">
        <v>676</v>
      </c>
    </row>
    <row r="179" spans="1:9" x14ac:dyDescent="0.25">
      <c r="A179" s="11"/>
      <c r="B179" s="17"/>
      <c r="C179" s="17"/>
      <c r="D179" s="17"/>
      <c r="E179" s="17"/>
      <c r="F179" s="25"/>
      <c r="G179" s="25">
        <f t="shared" si="0"/>
        <v>0</v>
      </c>
      <c r="H179" s="17"/>
      <c r="I179" s="17" t="s">
        <v>677</v>
      </c>
    </row>
    <row r="180" spans="1:9" x14ac:dyDescent="0.25">
      <c r="A180" s="11"/>
      <c r="B180" s="17"/>
      <c r="C180" s="17"/>
      <c r="D180" s="17"/>
      <c r="E180" s="17"/>
      <c r="F180" s="25"/>
      <c r="G180" s="25">
        <f t="shared" si="0"/>
        <v>0</v>
      </c>
      <c r="H180" s="17"/>
      <c r="I180" s="17" t="s">
        <v>678</v>
      </c>
    </row>
    <row r="181" spans="1:9" x14ac:dyDescent="0.25">
      <c r="A181" s="11"/>
      <c r="B181" s="17"/>
      <c r="C181" s="17"/>
      <c r="D181" s="17"/>
      <c r="E181" s="17"/>
      <c r="F181" s="25"/>
      <c r="G181" s="25">
        <f t="shared" si="0"/>
        <v>0</v>
      </c>
      <c r="H181" s="17"/>
      <c r="I181" s="17" t="s">
        <v>679</v>
      </c>
    </row>
    <row r="182" spans="1:9" x14ac:dyDescent="0.25">
      <c r="A182" s="11"/>
      <c r="B182" s="17"/>
      <c r="C182" s="17"/>
      <c r="D182" s="17"/>
      <c r="E182" s="17"/>
      <c r="F182" s="25"/>
      <c r="G182" s="25">
        <f t="shared" si="0"/>
        <v>0</v>
      </c>
      <c r="H182" s="17"/>
      <c r="I182" s="17" t="s">
        <v>680</v>
      </c>
    </row>
    <row r="183" spans="1:9" x14ac:dyDescent="0.25">
      <c r="A183" s="11"/>
      <c r="B183" s="17"/>
      <c r="C183" s="17"/>
      <c r="D183" s="17"/>
      <c r="E183" s="17"/>
      <c r="F183" s="25"/>
      <c r="G183" s="25">
        <f t="shared" si="0"/>
        <v>0</v>
      </c>
      <c r="H183" s="17"/>
      <c r="I183" s="17" t="s">
        <v>681</v>
      </c>
    </row>
    <row r="184" spans="1:9" x14ac:dyDescent="0.25">
      <c r="A184" s="11"/>
      <c r="B184" s="17"/>
      <c r="C184" s="17"/>
      <c r="D184" s="17"/>
      <c r="E184" s="17"/>
      <c r="F184" s="25"/>
      <c r="G184" s="25">
        <f t="shared" si="0"/>
        <v>0</v>
      </c>
      <c r="H184" s="17"/>
      <c r="I184" s="17" t="s">
        <v>682</v>
      </c>
    </row>
    <row r="185" spans="1:9" x14ac:dyDescent="0.25">
      <c r="A185" s="11"/>
      <c r="B185" s="17"/>
      <c r="C185" s="17"/>
      <c r="D185" s="17"/>
      <c r="E185" s="17"/>
      <c r="F185" s="25"/>
      <c r="G185" s="25">
        <f t="shared" si="0"/>
        <v>0</v>
      </c>
      <c r="H185" s="17"/>
      <c r="I185" s="17" t="s">
        <v>683</v>
      </c>
    </row>
    <row r="186" spans="1:9" x14ac:dyDescent="0.25">
      <c r="A186" s="11"/>
      <c r="B186" s="17"/>
      <c r="C186" s="17"/>
      <c r="D186" s="17"/>
      <c r="E186" s="17"/>
      <c r="F186" s="25"/>
      <c r="G186" s="25">
        <f t="shared" si="0"/>
        <v>0</v>
      </c>
      <c r="H186" s="17"/>
      <c r="I186" s="17" t="s">
        <v>684</v>
      </c>
    </row>
    <row r="187" spans="1:9" x14ac:dyDescent="0.25">
      <c r="A187" s="11"/>
      <c r="B187" s="17"/>
      <c r="C187" s="17"/>
      <c r="D187" s="17"/>
      <c r="E187" s="17"/>
      <c r="F187" s="25"/>
      <c r="G187" s="25">
        <f t="shared" si="0"/>
        <v>0</v>
      </c>
      <c r="H187" s="17"/>
      <c r="I187" s="17" t="s">
        <v>685</v>
      </c>
    </row>
    <row r="188" spans="1:9" x14ac:dyDescent="0.25">
      <c r="A188" s="11"/>
      <c r="B188" s="17"/>
      <c r="C188" s="17"/>
      <c r="D188" s="17"/>
      <c r="E188" s="17"/>
      <c r="F188" s="25"/>
      <c r="G188" s="25">
        <f t="shared" si="0"/>
        <v>0</v>
      </c>
      <c r="H188" s="17"/>
      <c r="I188" s="17" t="s">
        <v>686</v>
      </c>
    </row>
    <row r="189" spans="1:9" x14ac:dyDescent="0.25">
      <c r="A189" s="11"/>
      <c r="B189" s="17"/>
      <c r="C189" s="17"/>
      <c r="D189" s="17"/>
      <c r="E189" s="17"/>
      <c r="F189" s="25"/>
      <c r="G189" s="25">
        <f t="shared" si="0"/>
        <v>0</v>
      </c>
      <c r="H189" s="17"/>
      <c r="I189" s="17" t="s">
        <v>687</v>
      </c>
    </row>
    <row r="190" spans="1:9" x14ac:dyDescent="0.25">
      <c r="A190" s="11"/>
      <c r="B190" s="17"/>
      <c r="C190" s="17"/>
      <c r="D190" s="17"/>
      <c r="E190" s="17"/>
      <c r="F190" s="25"/>
      <c r="G190" s="25">
        <f t="shared" si="0"/>
        <v>0</v>
      </c>
      <c r="H190" s="17"/>
      <c r="I190" s="17" t="s">
        <v>688</v>
      </c>
    </row>
    <row r="191" spans="1:9" x14ac:dyDescent="0.25">
      <c r="A191" s="11"/>
      <c r="B191" s="17"/>
      <c r="C191" s="17"/>
      <c r="D191" s="17"/>
      <c r="E191" s="17"/>
      <c r="F191" s="25"/>
      <c r="G191" s="25">
        <f t="shared" si="0"/>
        <v>0</v>
      </c>
      <c r="H191" s="17"/>
      <c r="I191" s="17" t="s">
        <v>689</v>
      </c>
    </row>
    <row r="192" spans="1:9" x14ac:dyDescent="0.25">
      <c r="A192" s="11"/>
      <c r="B192" s="17"/>
      <c r="C192" s="17"/>
      <c r="D192" s="17"/>
      <c r="E192" s="17"/>
      <c r="F192" s="25"/>
      <c r="G192" s="25">
        <f t="shared" si="0"/>
        <v>0</v>
      </c>
      <c r="H192" s="17"/>
      <c r="I192" s="17" t="s">
        <v>690</v>
      </c>
    </row>
    <row r="193" spans="1:9" x14ac:dyDescent="0.25">
      <c r="A193" s="11"/>
      <c r="B193" s="17"/>
      <c r="C193" s="17"/>
      <c r="D193" s="17"/>
      <c r="E193" s="17"/>
      <c r="F193" s="25"/>
      <c r="G193" s="25">
        <f t="shared" si="0"/>
        <v>0</v>
      </c>
      <c r="H193" s="17"/>
      <c r="I193" s="17" t="s">
        <v>691</v>
      </c>
    </row>
    <row r="194" spans="1:9" x14ac:dyDescent="0.25">
      <c r="A194" s="11"/>
      <c r="B194" s="17"/>
      <c r="C194" s="17"/>
      <c r="D194" s="17"/>
      <c r="E194" s="17"/>
      <c r="F194" s="25"/>
      <c r="G194" s="25">
        <f t="shared" si="0"/>
        <v>0</v>
      </c>
      <c r="H194" s="17"/>
      <c r="I194" s="17" t="s">
        <v>692</v>
      </c>
    </row>
    <row r="195" spans="1:9" x14ac:dyDescent="0.25">
      <c r="A195" s="11"/>
      <c r="B195" s="17"/>
      <c r="C195" s="17"/>
      <c r="D195" s="17"/>
      <c r="E195" s="17"/>
      <c r="F195" s="25"/>
      <c r="G195" s="25">
        <f t="shared" si="0"/>
        <v>0</v>
      </c>
      <c r="H195" s="17"/>
      <c r="I195" s="17" t="s">
        <v>693</v>
      </c>
    </row>
    <row r="196" spans="1:9" x14ac:dyDescent="0.25">
      <c r="A196" s="11"/>
      <c r="B196" s="17"/>
      <c r="C196" s="17"/>
      <c r="D196" s="17"/>
      <c r="E196" s="17"/>
      <c r="F196" s="25"/>
      <c r="G196" s="25">
        <f t="shared" si="0"/>
        <v>0</v>
      </c>
      <c r="H196" s="17"/>
      <c r="I196" s="17" t="s">
        <v>694</v>
      </c>
    </row>
    <row r="197" spans="1:9" x14ac:dyDescent="0.25">
      <c r="A197" s="11"/>
      <c r="B197" s="17"/>
      <c r="C197" s="17"/>
      <c r="D197" s="17"/>
      <c r="E197" s="17"/>
      <c r="F197" s="25"/>
      <c r="G197" s="25">
        <f t="shared" si="0"/>
        <v>0</v>
      </c>
      <c r="H197" s="17"/>
      <c r="I197" s="17" t="s">
        <v>695</v>
      </c>
    </row>
    <row r="198" spans="1:9" x14ac:dyDescent="0.25">
      <c r="A198" s="11"/>
      <c r="B198" s="17"/>
      <c r="C198" s="17"/>
      <c r="D198" s="17"/>
      <c r="E198" s="17"/>
      <c r="F198" s="25"/>
      <c r="G198" s="25">
        <f t="shared" si="0"/>
        <v>0</v>
      </c>
      <c r="H198" s="17"/>
      <c r="I198" s="17" t="s">
        <v>696</v>
      </c>
    </row>
    <row r="199" spans="1:9" x14ac:dyDescent="0.25">
      <c r="A199" s="11"/>
      <c r="B199" s="17"/>
      <c r="C199" s="17"/>
      <c r="D199" s="17"/>
      <c r="E199" s="17"/>
      <c r="F199" s="25"/>
      <c r="G199" s="25">
        <f t="shared" si="0"/>
        <v>0</v>
      </c>
      <c r="H199" s="17"/>
      <c r="I199" s="17" t="s">
        <v>697</v>
      </c>
    </row>
    <row r="200" spans="1:9" x14ac:dyDescent="0.25">
      <c r="A200" s="11"/>
      <c r="B200" s="17"/>
      <c r="C200" s="17"/>
      <c r="D200" s="17"/>
      <c r="E200" s="17"/>
      <c r="F200" s="25"/>
      <c r="G200" s="25">
        <f t="shared" si="0"/>
        <v>0</v>
      </c>
      <c r="H200" s="17"/>
      <c r="I200" s="17" t="s">
        <v>698</v>
      </c>
    </row>
    <row r="201" spans="1:9" x14ac:dyDescent="0.25">
      <c r="A201" s="11"/>
      <c r="B201" s="17"/>
      <c r="C201" s="17"/>
      <c r="D201" s="17"/>
      <c r="E201" s="17"/>
      <c r="F201" s="25"/>
      <c r="G201" s="25">
        <f t="shared" si="0"/>
        <v>0</v>
      </c>
      <c r="H201" s="17"/>
      <c r="I201" s="17" t="s">
        <v>699</v>
      </c>
    </row>
    <row r="202" spans="1:9" x14ac:dyDescent="0.25">
      <c r="A202" s="11"/>
      <c r="B202" s="17"/>
      <c r="C202" s="17"/>
      <c r="D202" s="17"/>
      <c r="E202" s="17"/>
      <c r="F202" s="25"/>
      <c r="G202" s="25">
        <f t="shared" si="0"/>
        <v>0</v>
      </c>
      <c r="H202" s="17"/>
      <c r="I202" s="17" t="s">
        <v>700</v>
      </c>
    </row>
    <row r="203" spans="1:9" x14ac:dyDescent="0.25">
      <c r="A203" s="11"/>
      <c r="B203" s="17"/>
      <c r="C203" s="17"/>
      <c r="D203" s="17"/>
      <c r="E203" s="17"/>
      <c r="F203" s="25"/>
      <c r="G203" s="25">
        <f t="shared" si="0"/>
        <v>0</v>
      </c>
      <c r="H203" s="17"/>
      <c r="I203" s="17" t="s">
        <v>701</v>
      </c>
    </row>
    <row r="204" spans="1:9" x14ac:dyDescent="0.25">
      <c r="A204" s="11"/>
      <c r="B204" s="17"/>
      <c r="C204" s="17"/>
      <c r="D204" s="17"/>
      <c r="E204" s="17"/>
      <c r="F204" s="25"/>
      <c r="G204" s="25">
        <f t="shared" si="0"/>
        <v>0</v>
      </c>
      <c r="H204" s="17"/>
      <c r="I204" s="17" t="s">
        <v>702</v>
      </c>
    </row>
    <row r="205" spans="1:9" x14ac:dyDescent="0.25">
      <c r="A205" s="11"/>
      <c r="B205" s="17"/>
      <c r="C205" s="17"/>
      <c r="D205" s="17"/>
      <c r="E205" s="17"/>
      <c r="F205" s="25"/>
      <c r="G205" s="25">
        <f t="shared" si="0"/>
        <v>0</v>
      </c>
      <c r="H205" s="17"/>
      <c r="I205" s="17" t="s">
        <v>703</v>
      </c>
    </row>
    <row r="206" spans="1:9" x14ac:dyDescent="0.25">
      <c r="A206" s="11"/>
      <c r="B206" s="17"/>
      <c r="C206" s="17"/>
      <c r="D206" s="17"/>
      <c r="E206" s="17"/>
      <c r="F206" s="25"/>
      <c r="G206" s="25">
        <f t="shared" si="0"/>
        <v>0</v>
      </c>
      <c r="H206" s="17"/>
      <c r="I206" s="17" t="s">
        <v>704</v>
      </c>
    </row>
    <row r="207" spans="1:9" x14ac:dyDescent="0.25">
      <c r="A207" s="11"/>
      <c r="B207" s="17"/>
      <c r="C207" s="17"/>
      <c r="D207" s="17"/>
      <c r="E207" s="17"/>
      <c r="F207" s="25"/>
      <c r="G207" s="25">
        <f t="shared" si="0"/>
        <v>0</v>
      </c>
      <c r="H207" s="17"/>
      <c r="I207" s="17" t="s">
        <v>705</v>
      </c>
    </row>
    <row r="208" spans="1:9" x14ac:dyDescent="0.25">
      <c r="A208" s="11"/>
      <c r="B208" s="17"/>
      <c r="C208" s="17"/>
      <c r="D208" s="17"/>
      <c r="E208" s="17"/>
      <c r="F208" s="25"/>
      <c r="G208" s="25">
        <f t="shared" si="0"/>
        <v>0</v>
      </c>
      <c r="H208" s="17"/>
      <c r="I208" s="17" t="s">
        <v>706</v>
      </c>
    </row>
    <row r="209" spans="1:9" x14ac:dyDescent="0.25">
      <c r="A209" s="11"/>
      <c r="B209" s="17"/>
      <c r="C209" s="17"/>
      <c r="D209" s="17"/>
      <c r="E209" s="17"/>
      <c r="F209" s="25"/>
      <c r="G209" s="25">
        <f t="shared" si="0"/>
        <v>0</v>
      </c>
      <c r="H209" s="17"/>
      <c r="I209" s="17" t="s">
        <v>707</v>
      </c>
    </row>
    <row r="210" spans="1:9" x14ac:dyDescent="0.25">
      <c r="A210" s="11"/>
      <c r="B210" s="17"/>
      <c r="C210" s="17"/>
      <c r="D210" s="17"/>
      <c r="E210" s="17"/>
      <c r="F210" s="25"/>
      <c r="G210" s="25">
        <f t="shared" si="0"/>
        <v>0</v>
      </c>
      <c r="H210" s="17"/>
      <c r="I210" s="17" t="s">
        <v>708</v>
      </c>
    </row>
    <row r="211" spans="1:9" x14ac:dyDescent="0.25">
      <c r="A211" s="11"/>
      <c r="B211" s="17"/>
      <c r="C211" s="17"/>
      <c r="D211" s="17"/>
      <c r="E211" s="17"/>
      <c r="F211" s="25"/>
      <c r="G211" s="25">
        <f t="shared" si="0"/>
        <v>0</v>
      </c>
      <c r="H211" s="17"/>
      <c r="I211" s="17" t="s">
        <v>709</v>
      </c>
    </row>
    <row r="212" spans="1:9" x14ac:dyDescent="0.25">
      <c r="A212" s="11"/>
      <c r="B212" s="17"/>
      <c r="C212" s="17"/>
      <c r="D212" s="17"/>
      <c r="E212" s="17"/>
      <c r="F212" s="25"/>
      <c r="G212" s="25">
        <f t="shared" si="0"/>
        <v>0</v>
      </c>
      <c r="H212" s="17"/>
      <c r="I212" s="17" t="s">
        <v>710</v>
      </c>
    </row>
    <row r="213" spans="1:9" x14ac:dyDescent="0.25">
      <c r="A213" s="11"/>
      <c r="B213" s="17"/>
      <c r="C213" s="17"/>
      <c r="D213" s="17"/>
      <c r="E213" s="17"/>
      <c r="F213" s="25"/>
      <c r="G213" s="25">
        <f t="shared" si="0"/>
        <v>0</v>
      </c>
      <c r="H213" s="17"/>
      <c r="I213" s="17" t="s">
        <v>711</v>
      </c>
    </row>
    <row r="214" spans="1:9" x14ac:dyDescent="0.25">
      <c r="A214" s="11"/>
      <c r="B214" s="17"/>
      <c r="C214" s="17"/>
      <c r="D214" s="17"/>
      <c r="E214" s="17"/>
      <c r="F214" s="25"/>
      <c r="G214" s="25">
        <f t="shared" si="0"/>
        <v>0</v>
      </c>
      <c r="H214" s="17"/>
      <c r="I214" s="17" t="s">
        <v>712</v>
      </c>
    </row>
    <row r="215" spans="1:9" x14ac:dyDescent="0.25">
      <c r="A215" s="11"/>
      <c r="B215" s="17"/>
      <c r="C215" s="17"/>
      <c r="D215" s="17"/>
      <c r="E215" s="17"/>
      <c r="F215" s="25"/>
      <c r="G215" s="25">
        <f t="shared" si="0"/>
        <v>0</v>
      </c>
      <c r="H215" s="17"/>
      <c r="I215" s="17" t="s">
        <v>713</v>
      </c>
    </row>
    <row r="216" spans="1:9" x14ac:dyDescent="0.25">
      <c r="A216" s="11"/>
      <c r="B216" s="17"/>
      <c r="C216" s="17"/>
      <c r="D216" s="17"/>
      <c r="E216" s="17"/>
      <c r="F216" s="25"/>
      <c r="G216" s="25">
        <f t="shared" si="0"/>
        <v>0</v>
      </c>
      <c r="H216" s="17"/>
      <c r="I216" s="17" t="s">
        <v>714</v>
      </c>
    </row>
    <row r="217" spans="1:9" x14ac:dyDescent="0.25">
      <c r="A217" s="11"/>
      <c r="B217" s="17"/>
      <c r="C217" s="17"/>
      <c r="D217" s="17"/>
      <c r="E217" s="17"/>
      <c r="F217" s="25"/>
      <c r="G217" s="25">
        <f t="shared" si="0"/>
        <v>0</v>
      </c>
      <c r="H217" s="17"/>
      <c r="I217" s="17" t="s">
        <v>715</v>
      </c>
    </row>
    <row r="218" spans="1:9" x14ac:dyDescent="0.25">
      <c r="A218" s="11"/>
      <c r="B218" s="17"/>
      <c r="C218" s="17"/>
      <c r="D218" s="17"/>
      <c r="E218" s="17"/>
      <c r="F218" s="25"/>
      <c r="G218" s="25">
        <f t="shared" si="0"/>
        <v>0</v>
      </c>
      <c r="H218" s="17"/>
      <c r="I218" s="17" t="s">
        <v>716</v>
      </c>
    </row>
    <row r="219" spans="1:9" x14ac:dyDescent="0.25">
      <c r="A219" s="11"/>
      <c r="B219" s="17"/>
      <c r="C219" s="17"/>
      <c r="D219" s="17"/>
      <c r="E219" s="17"/>
      <c r="F219" s="25"/>
      <c r="G219" s="25">
        <f t="shared" si="0"/>
        <v>0</v>
      </c>
      <c r="H219" s="17"/>
      <c r="I219" s="17" t="s">
        <v>717</v>
      </c>
    </row>
    <row r="220" spans="1:9" x14ac:dyDescent="0.25">
      <c r="A220" s="11"/>
      <c r="B220" s="17"/>
      <c r="C220" s="17"/>
      <c r="D220" s="17"/>
      <c r="E220" s="17"/>
      <c r="F220" s="25"/>
      <c r="G220" s="25">
        <f t="shared" si="0"/>
        <v>0</v>
      </c>
      <c r="H220" s="17"/>
      <c r="I220" s="17" t="s">
        <v>718</v>
      </c>
    </row>
    <row r="221" spans="1:9" x14ac:dyDescent="0.25">
      <c r="A221" s="11"/>
      <c r="B221" s="17"/>
      <c r="C221" s="17"/>
      <c r="D221" s="17"/>
      <c r="E221" s="17"/>
      <c r="F221" s="25"/>
      <c r="G221" s="25">
        <f t="shared" si="0"/>
        <v>0</v>
      </c>
      <c r="H221" s="17"/>
      <c r="I221" s="17" t="s">
        <v>719</v>
      </c>
    </row>
    <row r="222" spans="1:9" x14ac:dyDescent="0.25">
      <c r="A222" s="11"/>
      <c r="B222" s="17"/>
      <c r="C222" s="17"/>
      <c r="D222" s="17"/>
      <c r="E222" s="17"/>
      <c r="F222" s="25"/>
      <c r="G222" s="25">
        <f t="shared" si="0"/>
        <v>0</v>
      </c>
      <c r="H222" s="17"/>
      <c r="I222" s="17" t="s">
        <v>720</v>
      </c>
    </row>
    <row r="223" spans="1:9" x14ac:dyDescent="0.25">
      <c r="A223" s="11"/>
      <c r="B223" s="17"/>
      <c r="C223" s="17"/>
      <c r="D223" s="17"/>
      <c r="E223" s="17"/>
      <c r="F223" s="25"/>
      <c r="G223" s="25">
        <f t="shared" si="0"/>
        <v>0</v>
      </c>
      <c r="H223" s="17"/>
      <c r="I223" s="17" t="s">
        <v>721</v>
      </c>
    </row>
    <row r="224" spans="1:9" x14ac:dyDescent="0.25">
      <c r="A224" s="11"/>
      <c r="B224" s="17"/>
      <c r="C224" s="17"/>
      <c r="D224" s="17"/>
      <c r="E224" s="17"/>
      <c r="F224" s="25"/>
      <c r="G224" s="25">
        <f t="shared" si="0"/>
        <v>0</v>
      </c>
      <c r="H224" s="17"/>
      <c r="I224" s="17" t="s">
        <v>722</v>
      </c>
    </row>
    <row r="225" spans="1:9" x14ac:dyDescent="0.25">
      <c r="A225" s="11"/>
      <c r="B225" s="17"/>
      <c r="C225" s="17"/>
      <c r="D225" s="17"/>
      <c r="E225" s="17"/>
      <c r="F225" s="25"/>
      <c r="G225" s="25">
        <f t="shared" si="0"/>
        <v>0</v>
      </c>
      <c r="H225" s="17"/>
      <c r="I225" s="17" t="s">
        <v>723</v>
      </c>
    </row>
    <row r="226" spans="1:9" x14ac:dyDescent="0.25">
      <c r="A226" s="11"/>
      <c r="B226" s="17"/>
      <c r="C226" s="17"/>
      <c r="D226" s="17"/>
      <c r="E226" s="17"/>
      <c r="F226" s="25"/>
      <c r="G226" s="25">
        <f t="shared" si="0"/>
        <v>0</v>
      </c>
      <c r="H226" s="17"/>
      <c r="I226" s="17" t="s">
        <v>724</v>
      </c>
    </row>
    <row r="227" spans="1:9" x14ac:dyDescent="0.25">
      <c r="A227" s="11"/>
      <c r="B227" s="17"/>
      <c r="C227" s="17"/>
      <c r="D227" s="17"/>
      <c r="E227" s="17"/>
      <c r="F227" s="25"/>
      <c r="G227" s="25">
        <f t="shared" si="0"/>
        <v>0</v>
      </c>
      <c r="H227" s="17"/>
      <c r="I227" s="17" t="s">
        <v>725</v>
      </c>
    </row>
    <row r="228" spans="1:9" x14ac:dyDescent="0.25">
      <c r="A228" s="11"/>
      <c r="B228" s="17"/>
      <c r="C228" s="17"/>
      <c r="D228" s="17"/>
      <c r="E228" s="17"/>
      <c r="F228" s="25"/>
      <c r="G228" s="25">
        <f t="shared" si="0"/>
        <v>0</v>
      </c>
      <c r="H228" s="17"/>
      <c r="I228" s="17" t="s">
        <v>726</v>
      </c>
    </row>
    <row r="229" spans="1:9" x14ac:dyDescent="0.25">
      <c r="A229" s="11"/>
      <c r="B229" s="17"/>
      <c r="C229" s="17"/>
      <c r="D229" s="17"/>
      <c r="E229" s="17"/>
      <c r="F229" s="25"/>
      <c r="G229" s="25">
        <f t="shared" si="0"/>
        <v>0</v>
      </c>
      <c r="H229" s="17"/>
      <c r="I229" s="17" t="s">
        <v>727</v>
      </c>
    </row>
    <row r="230" spans="1:9" x14ac:dyDescent="0.25">
      <c r="A230" s="11"/>
      <c r="B230" s="17"/>
      <c r="C230" s="17"/>
      <c r="D230" s="17"/>
      <c r="E230" s="17"/>
      <c r="F230" s="25"/>
      <c r="G230" s="25">
        <f t="shared" si="0"/>
        <v>0</v>
      </c>
      <c r="H230" s="17"/>
      <c r="I230" s="17" t="s">
        <v>728</v>
      </c>
    </row>
    <row r="231" spans="1:9" x14ac:dyDescent="0.25">
      <c r="A231" s="11"/>
      <c r="B231" s="17"/>
      <c r="C231" s="17"/>
      <c r="D231" s="17"/>
      <c r="E231" s="17"/>
      <c r="F231" s="25"/>
      <c r="G231" s="25">
        <f t="shared" si="0"/>
        <v>0</v>
      </c>
      <c r="H231" s="17"/>
      <c r="I231" s="17" t="s">
        <v>729</v>
      </c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E2">
    <cfRule type="notContainsBlanks" dxfId="12" priority="3">
      <formula>LEN(TRIM(E2))&gt;0</formula>
    </cfRule>
  </conditionalFormatting>
  <conditionalFormatting sqref="G2:G231">
    <cfRule type="expression" dxfId="11" priority="1">
      <formula>G2&lt;0</formula>
    </cfRule>
    <cfRule type="expression" dxfId="10" priority="2">
      <formula>G2&gt;0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A00-000000000000}">
          <x14:formula1>
            <xm:f>CATEGORIASCONFIGS!$C$2:$C$7</xm:f>
          </x14:formula1>
          <xm:sqref>D2:D231</xm:sqref>
        </x14:dataValidation>
        <x14:dataValidation type="list" allowBlank="1" showErrorMessage="1" xr:uid="{00000000-0002-0000-0A00-000001000000}">
          <x14:formula1>
            <xm:f>CATEGORIASCONFIGS!$E$2:$E$35</xm:f>
          </x14:formula1>
          <xm:sqref>E2:E231</xm:sqref>
        </x14:dataValidation>
        <x14:dataValidation type="list" allowBlank="1" showErrorMessage="1" xr:uid="{00000000-0002-0000-0A00-000002000000}">
          <x14:formula1>
            <xm:f>CATEGORIASCONFIGS!$A$2:$A$4</xm:f>
          </x14:formula1>
          <xm:sqref>B2:B231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AM99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.6640625" customWidth="1"/>
    <col min="4" max="4" width="16.33203125" customWidth="1"/>
    <col min="5" max="5" width="14.33203125" customWidth="1"/>
    <col min="6" max="6" width="10.109375" customWidth="1"/>
    <col min="7" max="7" width="16.21875" hidden="1" customWidth="1"/>
    <col min="8" max="8" width="26" customWidth="1"/>
    <col min="9" max="9" width="32.77734375" customWidth="1"/>
    <col min="10" max="10" width="19.77734375" customWidth="1"/>
    <col min="11" max="11" width="10.109375" customWidth="1"/>
    <col min="13" max="13" width="11.44140625" customWidth="1"/>
    <col min="14" max="14" width="13.33203125" customWidth="1"/>
    <col min="15" max="15" width="10.88671875" customWidth="1"/>
    <col min="16" max="16" width="10.109375" customWidth="1"/>
    <col min="17" max="17" width="10.6640625" customWidth="1"/>
  </cols>
  <sheetData>
    <row r="1" spans="1:39" ht="39.6" x14ac:dyDescent="0.25">
      <c r="A1" s="14" t="s">
        <v>156</v>
      </c>
      <c r="B1" s="14" t="s">
        <v>9</v>
      </c>
      <c r="C1" s="14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14" t="s">
        <v>159</v>
      </c>
      <c r="J1" s="14" t="s">
        <v>160</v>
      </c>
      <c r="K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ht="13.2" hidden="1" x14ac:dyDescent="0.25">
      <c r="A2" s="39">
        <v>46262.787442129629</v>
      </c>
      <c r="B2" s="17" t="s">
        <v>112</v>
      </c>
      <c r="C2" s="17" t="s">
        <v>166</v>
      </c>
      <c r="D2" s="17" t="s">
        <v>113</v>
      </c>
      <c r="E2" s="17" t="s">
        <v>147</v>
      </c>
      <c r="F2" s="25">
        <v>51.99</v>
      </c>
      <c r="G2" s="25">
        <f t="shared" ref="G2:G29" si="0">IF(B2="Saída", -ABS(F2), ABS(F2))</f>
        <v>51.99</v>
      </c>
      <c r="H2" s="17" t="s">
        <v>731</v>
      </c>
      <c r="I2" s="17" t="s">
        <v>732</v>
      </c>
      <c r="J2" s="17" t="s">
        <v>162</v>
      </c>
      <c r="K2" s="25">
        <f>SUMIF(B:B,"Entrada",G:G)</f>
        <v>7228.79</v>
      </c>
      <c r="AL2" t="s">
        <v>1005</v>
      </c>
      <c r="AM2">
        <f>SUMIFS($F:$F,$X:$X,"Entrada",$Y:$Y,"Receita")+SUMIFS($F:$F,$B:$B,"Entrada",$X:$X,"")</f>
        <v>7228.79</v>
      </c>
    </row>
    <row r="3" spans="1:39" ht="13.2" hidden="1" x14ac:dyDescent="0.25">
      <c r="A3" s="11">
        <v>46235.787438796295</v>
      </c>
      <c r="B3" s="17" t="s">
        <v>165</v>
      </c>
      <c r="C3" s="17" t="s">
        <v>733</v>
      </c>
      <c r="D3" s="17" t="s">
        <v>113</v>
      </c>
      <c r="E3" s="17" t="s">
        <v>124</v>
      </c>
      <c r="F3" s="25">
        <v>126.66</v>
      </c>
      <c r="G3" s="25">
        <f t="shared" si="0"/>
        <v>-126.66</v>
      </c>
      <c r="H3" s="17" t="s">
        <v>167</v>
      </c>
      <c r="I3" s="17" t="s">
        <v>734</v>
      </c>
      <c r="J3" s="17" t="s">
        <v>164</v>
      </c>
      <c r="K3" s="25">
        <f>SUMIF(B:B,"Saída",G:G)</f>
        <v>-7804.6799999999985</v>
      </c>
      <c r="AL3" t="s">
        <v>1006</v>
      </c>
      <c r="AM3">
        <f>SUMIFS($F:$F,$X:$X,"Saída",$Y:$Y,"Despesa")+SUMIFS($F:$F,$B:$B,"Saída",$X:$X,"",$D:$D,"&lt;&gt;Investimentos",$D:$D,"&lt;&gt;Sonhos")</f>
        <v>7588.0099999999984</v>
      </c>
    </row>
    <row r="4" spans="1:39" ht="13.2" hidden="1" x14ac:dyDescent="0.25">
      <c r="A4" s="11">
        <v>46235.787438796295</v>
      </c>
      <c r="B4" s="17" t="s">
        <v>116</v>
      </c>
      <c r="C4" s="17" t="s">
        <v>733</v>
      </c>
      <c r="D4" s="17" t="s">
        <v>117</v>
      </c>
      <c r="E4" s="17" t="s">
        <v>147</v>
      </c>
      <c r="F4" s="25">
        <v>52.11</v>
      </c>
      <c r="G4" s="25">
        <f t="shared" si="0"/>
        <v>-52.11</v>
      </c>
      <c r="H4" s="17"/>
      <c r="I4" s="17" t="s">
        <v>735</v>
      </c>
      <c r="J4" s="17" t="s">
        <v>224</v>
      </c>
      <c r="K4" s="25">
        <f>K2 + K3</f>
        <v>-575.88999999999851</v>
      </c>
      <c r="U4" s="6" t="s">
        <v>736</v>
      </c>
      <c r="V4" s="6">
        <v>657.1</v>
      </c>
      <c r="AL4" t="s">
        <v>1007</v>
      </c>
      <c r="AM4">
        <f>SUMIFS($F:$F,$X:$X,"Saída",$Y:$Y,"Despesa",$AB:$AB,"Essencial")+SUMIFS($F:$F,$B:$B,"Saída",$X:$X,"",$D:$D,"Essencial")</f>
        <v>5931.88</v>
      </c>
    </row>
    <row r="5" spans="1:39" ht="13.2" hidden="1" x14ac:dyDescent="0.25">
      <c r="A5" s="11">
        <v>46235.790153888884</v>
      </c>
      <c r="B5" s="17" t="s">
        <v>165</v>
      </c>
      <c r="C5" s="17"/>
      <c r="D5" s="17" t="s">
        <v>737</v>
      </c>
      <c r="E5" s="17" t="s">
        <v>147</v>
      </c>
      <c r="F5" s="25">
        <v>53.78</v>
      </c>
      <c r="G5" s="25">
        <f t="shared" si="0"/>
        <v>-53.78</v>
      </c>
      <c r="H5" s="17" t="s">
        <v>738</v>
      </c>
      <c r="I5" s="17" t="s">
        <v>739</v>
      </c>
      <c r="AL5" t="s">
        <v>1008</v>
      </c>
      <c r="AM5">
        <f>SUMIFS($F:$F,$X:$X,"Saída",$Y:$Y,"Despesa",$AB:$AB,"Não essencial")+SUMIFS($F:$F,$B:$B,"Saída",$X:$X,"",$D:$D,"Não essencial")</f>
        <v>1656.1299999999999</v>
      </c>
    </row>
    <row r="6" spans="1:39" ht="13.2" x14ac:dyDescent="0.25">
      <c r="A6" s="11">
        <v>46235.79053859954</v>
      </c>
      <c r="B6" s="17" t="s">
        <v>165</v>
      </c>
      <c r="C6" s="17"/>
      <c r="D6" s="17" t="s">
        <v>113</v>
      </c>
      <c r="E6" s="17" t="s">
        <v>137</v>
      </c>
      <c r="F6" s="25">
        <v>20</v>
      </c>
      <c r="G6" s="25">
        <f t="shared" si="0"/>
        <v>-20</v>
      </c>
      <c r="H6" s="17" t="s">
        <v>740</v>
      </c>
      <c r="I6" s="17" t="s">
        <v>741</v>
      </c>
      <c r="AL6" t="s">
        <v>120</v>
      </c>
      <c r="AM6">
        <f>SUMIFS($F:$F,$X:$X,"Saída",$Y:$Y,"Investimento")+SUMIFS($F:$F,$B:$B,"Saída",$X:$X,"",$D:$D,"Investimentos")</f>
        <v>250</v>
      </c>
    </row>
    <row r="7" spans="1:39" ht="13.2" hidden="1" x14ac:dyDescent="0.25">
      <c r="A7" s="11">
        <v>46235.791152187499</v>
      </c>
      <c r="B7" s="17" t="s">
        <v>165</v>
      </c>
      <c r="C7" s="17"/>
      <c r="D7" s="17" t="s">
        <v>737</v>
      </c>
      <c r="E7" s="17" t="s">
        <v>147</v>
      </c>
      <c r="F7" s="25">
        <v>2.99</v>
      </c>
      <c r="G7" s="25">
        <f t="shared" si="0"/>
        <v>-2.99</v>
      </c>
      <c r="H7" s="17" t="s">
        <v>742</v>
      </c>
      <c r="I7" s="17" t="s">
        <v>743</v>
      </c>
      <c r="J7" s="14" t="s">
        <v>172</v>
      </c>
      <c r="K7" s="14" t="s">
        <v>173</v>
      </c>
      <c r="M7" s="14" t="s">
        <v>172</v>
      </c>
      <c r="N7" s="14" t="s">
        <v>174</v>
      </c>
      <c r="O7" s="14" t="s">
        <v>175</v>
      </c>
      <c r="P7" s="14" t="s">
        <v>173</v>
      </c>
      <c r="Q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ht="13.2" hidden="1" x14ac:dyDescent="0.25">
      <c r="A8" s="11">
        <v>46235.791448518517</v>
      </c>
      <c r="B8" s="17" t="s">
        <v>165</v>
      </c>
      <c r="C8" s="17"/>
      <c r="D8" s="17" t="s">
        <v>737</v>
      </c>
      <c r="E8" s="17" t="s">
        <v>139</v>
      </c>
      <c r="F8" s="25">
        <v>14</v>
      </c>
      <c r="G8" s="25">
        <f t="shared" si="0"/>
        <v>-14</v>
      </c>
      <c r="H8" s="17"/>
      <c r="I8" s="17" t="s">
        <v>744</v>
      </c>
      <c r="J8" s="17" t="s">
        <v>113</v>
      </c>
      <c r="K8" s="25">
        <f>SUMIFS($F:$F,$D:$D,J8,$E:$E,"&lt;&gt;Salário")</f>
        <v>5983.87</v>
      </c>
      <c r="M8" s="17" t="s">
        <v>113</v>
      </c>
      <c r="N8" s="25">
        <f>K2*O8</f>
        <v>3252.9555</v>
      </c>
      <c r="O8" s="31">
        <v>0.45</v>
      </c>
      <c r="P8" s="25">
        <f t="shared" ref="P8:P11" si="1">ABS(SUMIF(D:D, M8, F:F))</f>
        <v>13160.67</v>
      </c>
      <c r="Q8" s="25">
        <f t="shared" ref="Q8:Q11" si="2">P8 - N8</f>
        <v>9907.7145</v>
      </c>
      <c r="AL8" t="s">
        <v>1010</v>
      </c>
      <c r="AM8">
        <f>SUMIFS($F:$F,$X:$X,"Entrada")-SUMIFS($F:$F,$X:$X,"Saída")+SUMIFS($F:$F,$B:$B,"Entrada",$X:$X,"")-SUMIFS($F:$F,$B:$B,"Saída",$X:$X,"")</f>
        <v>-609.21999999999844</v>
      </c>
    </row>
    <row r="9" spans="1:39" ht="13.2" hidden="1" x14ac:dyDescent="0.25">
      <c r="A9" s="11">
        <v>46235.791664895834</v>
      </c>
      <c r="B9" s="17" t="s">
        <v>165</v>
      </c>
      <c r="C9" s="17"/>
      <c r="D9" s="17" t="s">
        <v>737</v>
      </c>
      <c r="E9" s="17" t="s">
        <v>147</v>
      </c>
      <c r="F9" s="25">
        <v>50</v>
      </c>
      <c r="G9" s="25">
        <f t="shared" si="0"/>
        <v>-50</v>
      </c>
      <c r="H9" s="17"/>
      <c r="I9" s="17" t="s">
        <v>745</v>
      </c>
      <c r="J9" s="17" t="s">
        <v>117</v>
      </c>
      <c r="K9" s="25">
        <f t="shared" ref="K9:K11" si="3">SUMIF($D:$D, J9, $F:$F)</f>
        <v>1656.1299999999999</v>
      </c>
      <c r="M9" s="17" t="s">
        <v>117</v>
      </c>
      <c r="N9" s="25">
        <f>K2*O9</f>
        <v>1445.758</v>
      </c>
      <c r="O9" s="31">
        <v>0.2</v>
      </c>
      <c r="P9" s="25">
        <f t="shared" si="1"/>
        <v>1656.1299999999999</v>
      </c>
      <c r="Q9" s="25">
        <f t="shared" si="2"/>
        <v>210.37199999999984</v>
      </c>
    </row>
    <row r="10" spans="1:39" ht="13.2" x14ac:dyDescent="0.25">
      <c r="A10" s="11">
        <v>46235.792775983791</v>
      </c>
      <c r="B10" s="17" t="s">
        <v>165</v>
      </c>
      <c r="C10" s="17"/>
      <c r="D10" s="17" t="s">
        <v>113</v>
      </c>
      <c r="E10" s="17" t="s">
        <v>137</v>
      </c>
      <c r="F10" s="25">
        <v>162.13</v>
      </c>
      <c r="G10" s="25">
        <f t="shared" si="0"/>
        <v>-162.13</v>
      </c>
      <c r="H10" s="17" t="s">
        <v>746</v>
      </c>
      <c r="I10" s="17" t="s">
        <v>747</v>
      </c>
      <c r="J10" s="17" t="s">
        <v>120</v>
      </c>
      <c r="K10" s="25">
        <f t="shared" si="3"/>
        <v>250</v>
      </c>
      <c r="M10" s="17" t="s">
        <v>120</v>
      </c>
      <c r="N10" s="25">
        <f>K2*O10</f>
        <v>2168.6369999999997</v>
      </c>
      <c r="O10" s="31">
        <v>0.3</v>
      </c>
      <c r="P10" s="25">
        <f t="shared" si="1"/>
        <v>250</v>
      </c>
      <c r="Q10" s="25">
        <f t="shared" si="2"/>
        <v>-1918.6369999999997</v>
      </c>
    </row>
    <row r="11" spans="1:39" ht="13.2" hidden="1" x14ac:dyDescent="0.25">
      <c r="A11" s="11">
        <v>46235.793133067127</v>
      </c>
      <c r="B11" s="17" t="s">
        <v>165</v>
      </c>
      <c r="C11" s="17"/>
      <c r="D11" s="17" t="s">
        <v>737</v>
      </c>
      <c r="E11" s="17" t="s">
        <v>147</v>
      </c>
      <c r="F11" s="25">
        <v>7</v>
      </c>
      <c r="G11" s="25">
        <f t="shared" si="0"/>
        <v>-7</v>
      </c>
      <c r="H11" s="17" t="s">
        <v>748</v>
      </c>
      <c r="I11" s="17" t="s">
        <v>749</v>
      </c>
      <c r="J11" s="17" t="s">
        <v>123</v>
      </c>
      <c r="K11" s="25">
        <f t="shared" si="3"/>
        <v>0</v>
      </c>
      <c r="M11" s="17" t="s">
        <v>123</v>
      </c>
      <c r="N11" s="25">
        <f>K2*O11</f>
        <v>361.43950000000001</v>
      </c>
      <c r="O11" s="31">
        <v>0.05</v>
      </c>
      <c r="P11" s="25">
        <f t="shared" si="1"/>
        <v>0</v>
      </c>
      <c r="Q11" s="25">
        <f t="shared" si="2"/>
        <v>-361.43950000000001</v>
      </c>
    </row>
    <row r="12" spans="1:39" ht="13.2" hidden="1" x14ac:dyDescent="0.25">
      <c r="A12" s="11">
        <v>46235.794356701386</v>
      </c>
      <c r="B12" s="17" t="s">
        <v>165</v>
      </c>
      <c r="C12" s="17"/>
      <c r="D12" s="17" t="s">
        <v>737</v>
      </c>
      <c r="E12" s="17" t="s">
        <v>150</v>
      </c>
      <c r="F12" s="25">
        <v>45</v>
      </c>
      <c r="G12" s="25">
        <f t="shared" si="0"/>
        <v>-45</v>
      </c>
      <c r="H12" s="17" t="s">
        <v>750</v>
      </c>
      <c r="I12" s="17" t="s">
        <v>751</v>
      </c>
    </row>
    <row r="13" spans="1:39" ht="13.2" hidden="1" x14ac:dyDescent="0.25">
      <c r="A13" s="11">
        <v>46235.794682280088</v>
      </c>
      <c r="B13" s="17" t="s">
        <v>165</v>
      </c>
      <c r="C13" s="17"/>
      <c r="D13" s="17" t="s">
        <v>737</v>
      </c>
      <c r="E13" s="17" t="s">
        <v>147</v>
      </c>
      <c r="F13" s="25">
        <v>7.9</v>
      </c>
      <c r="G13" s="25">
        <f t="shared" si="0"/>
        <v>-7.9</v>
      </c>
      <c r="H13" s="17" t="s">
        <v>748</v>
      </c>
      <c r="I13" s="17" t="s">
        <v>752</v>
      </c>
    </row>
    <row r="14" spans="1:39" ht="13.2" hidden="1" x14ac:dyDescent="0.25">
      <c r="A14" s="11">
        <v>46235.794682280088</v>
      </c>
      <c r="B14" s="17" t="s">
        <v>165</v>
      </c>
      <c r="C14" s="17"/>
      <c r="D14" s="17" t="s">
        <v>113</v>
      </c>
      <c r="E14" s="17" t="s">
        <v>129</v>
      </c>
      <c r="F14" s="25">
        <v>24.9</v>
      </c>
      <c r="G14" s="25">
        <f t="shared" si="0"/>
        <v>-24.9</v>
      </c>
      <c r="H14" s="17" t="s">
        <v>753</v>
      </c>
      <c r="I14" s="17" t="s">
        <v>754</v>
      </c>
    </row>
    <row r="15" spans="1:39" ht="13.2" hidden="1" x14ac:dyDescent="0.25">
      <c r="A15" s="11">
        <v>46235.794682280088</v>
      </c>
      <c r="B15" s="17" t="s">
        <v>165</v>
      </c>
      <c r="C15" s="17"/>
      <c r="D15" s="17" t="s">
        <v>113</v>
      </c>
      <c r="E15" s="17" t="s">
        <v>147</v>
      </c>
      <c r="F15" s="25">
        <v>399.9</v>
      </c>
      <c r="G15" s="25">
        <f t="shared" si="0"/>
        <v>-399.9</v>
      </c>
      <c r="H15" s="17" t="s">
        <v>755</v>
      </c>
      <c r="I15" s="17" t="s">
        <v>756</v>
      </c>
    </row>
    <row r="16" spans="1:39" ht="13.2" hidden="1" x14ac:dyDescent="0.25">
      <c r="A16" s="11">
        <v>46235.794682280088</v>
      </c>
      <c r="B16" s="17" t="s">
        <v>165</v>
      </c>
      <c r="C16" s="17"/>
      <c r="D16" s="17" t="s">
        <v>113</v>
      </c>
      <c r="E16" s="17" t="s">
        <v>124</v>
      </c>
      <c r="F16" s="25">
        <v>294.32</v>
      </c>
      <c r="G16" s="25">
        <f t="shared" si="0"/>
        <v>-294.32</v>
      </c>
      <c r="H16" s="17" t="s">
        <v>757</v>
      </c>
      <c r="I16" s="17" t="s">
        <v>758</v>
      </c>
    </row>
    <row r="17" spans="1:9" ht="13.2" hidden="1" x14ac:dyDescent="0.25">
      <c r="A17" s="11">
        <v>46235.794682280088</v>
      </c>
      <c r="B17" s="17" t="s">
        <v>165</v>
      </c>
      <c r="C17" s="17"/>
      <c r="D17" s="17" t="s">
        <v>113</v>
      </c>
      <c r="E17" s="17" t="s">
        <v>124</v>
      </c>
      <c r="F17" s="25">
        <v>1500</v>
      </c>
      <c r="G17" s="25">
        <f t="shared" si="0"/>
        <v>-1500</v>
      </c>
      <c r="H17" s="17" t="s">
        <v>759</v>
      </c>
      <c r="I17" s="17" t="s">
        <v>760</v>
      </c>
    </row>
    <row r="18" spans="1:9" ht="13.2" hidden="1" x14ac:dyDescent="0.25">
      <c r="A18" s="11">
        <v>46235.794682280088</v>
      </c>
      <c r="B18" s="17" t="s">
        <v>165</v>
      </c>
      <c r="C18" s="17"/>
      <c r="D18" s="17" t="s">
        <v>113</v>
      </c>
      <c r="E18" s="17" t="s">
        <v>147</v>
      </c>
      <c r="F18" s="25">
        <v>707.68</v>
      </c>
      <c r="G18" s="25">
        <f t="shared" si="0"/>
        <v>-707.68</v>
      </c>
      <c r="H18" s="17" t="s">
        <v>761</v>
      </c>
      <c r="I18" s="17" t="s">
        <v>762</v>
      </c>
    </row>
    <row r="19" spans="1:9" ht="13.2" hidden="1" x14ac:dyDescent="0.25">
      <c r="A19" s="11">
        <v>46235.794682280088</v>
      </c>
      <c r="B19" s="17" t="s">
        <v>165</v>
      </c>
      <c r="C19" s="17"/>
      <c r="D19" s="17" t="s">
        <v>113</v>
      </c>
      <c r="E19" s="17" t="s">
        <v>133</v>
      </c>
      <c r="F19" s="25">
        <v>1000</v>
      </c>
      <c r="G19" s="25">
        <f t="shared" si="0"/>
        <v>-1000</v>
      </c>
      <c r="H19" s="17" t="s">
        <v>763</v>
      </c>
      <c r="I19" s="17" t="s">
        <v>764</v>
      </c>
    </row>
    <row r="20" spans="1:9" ht="13.2" hidden="1" x14ac:dyDescent="0.25">
      <c r="A20" s="11">
        <v>46235.794682280088</v>
      </c>
      <c r="B20" s="17" t="s">
        <v>165</v>
      </c>
      <c r="C20" s="17"/>
      <c r="D20" s="17" t="s">
        <v>120</v>
      </c>
      <c r="E20" s="17" t="s">
        <v>127</v>
      </c>
      <c r="F20" s="25">
        <v>250</v>
      </c>
      <c r="G20" s="25">
        <f t="shared" si="0"/>
        <v>-250</v>
      </c>
      <c r="H20" s="17"/>
      <c r="I20" s="17" t="s">
        <v>765</v>
      </c>
    </row>
    <row r="21" spans="1:9" ht="13.2" hidden="1" x14ac:dyDescent="0.25">
      <c r="A21" s="11">
        <v>46235.794682280088</v>
      </c>
      <c r="B21" s="17" t="s">
        <v>165</v>
      </c>
      <c r="C21" s="17"/>
      <c r="D21" s="17" t="s">
        <v>113</v>
      </c>
      <c r="E21" s="17" t="s">
        <v>147</v>
      </c>
      <c r="F21" s="25">
        <v>60</v>
      </c>
      <c r="G21" s="25">
        <f t="shared" si="0"/>
        <v>-60</v>
      </c>
      <c r="H21" s="17" t="s">
        <v>404</v>
      </c>
      <c r="I21" s="17" t="s">
        <v>766</v>
      </c>
    </row>
    <row r="22" spans="1:9" ht="13.2" hidden="1" x14ac:dyDescent="0.25">
      <c r="A22" s="11">
        <v>46235.794682280088</v>
      </c>
      <c r="B22" s="17" t="s">
        <v>165</v>
      </c>
      <c r="C22" s="17"/>
      <c r="D22" s="17" t="s">
        <v>113</v>
      </c>
      <c r="E22" s="17" t="s">
        <v>147</v>
      </c>
      <c r="F22" s="25">
        <v>380.22</v>
      </c>
      <c r="G22" s="25">
        <f t="shared" si="0"/>
        <v>-380.22</v>
      </c>
      <c r="H22" s="17" t="s">
        <v>410</v>
      </c>
      <c r="I22" s="17" t="s">
        <v>767</v>
      </c>
    </row>
    <row r="23" spans="1:9" ht="13.2" hidden="1" x14ac:dyDescent="0.25">
      <c r="A23" s="11">
        <v>46235.794682280088</v>
      </c>
      <c r="B23" s="17" t="s">
        <v>112</v>
      </c>
      <c r="C23" s="17"/>
      <c r="D23" s="17" t="s">
        <v>113</v>
      </c>
      <c r="E23" s="17" t="s">
        <v>126</v>
      </c>
      <c r="F23" s="25">
        <v>7076.8</v>
      </c>
      <c r="G23" s="25">
        <f t="shared" si="0"/>
        <v>7076.8</v>
      </c>
      <c r="H23" s="17" t="s">
        <v>768</v>
      </c>
      <c r="I23" s="17" t="s">
        <v>769</v>
      </c>
    </row>
    <row r="24" spans="1:9" ht="13.2" hidden="1" x14ac:dyDescent="0.25">
      <c r="A24" s="11">
        <v>46235.847072337958</v>
      </c>
      <c r="B24" s="17" t="s">
        <v>165</v>
      </c>
      <c r="C24" s="17"/>
      <c r="D24" s="17" t="s">
        <v>737</v>
      </c>
      <c r="E24" s="17" t="s">
        <v>139</v>
      </c>
      <c r="F24" s="25">
        <v>45</v>
      </c>
      <c r="G24" s="25">
        <f t="shared" si="0"/>
        <v>-45</v>
      </c>
      <c r="H24" s="17" t="s">
        <v>770</v>
      </c>
      <c r="I24" s="17" t="s">
        <v>771</v>
      </c>
    </row>
    <row r="25" spans="1:9" ht="13.2" hidden="1" x14ac:dyDescent="0.25">
      <c r="A25" s="11">
        <v>46236.490280104168</v>
      </c>
      <c r="B25" s="17" t="s">
        <v>165</v>
      </c>
      <c r="C25" s="17"/>
      <c r="D25" s="17" t="s">
        <v>737</v>
      </c>
      <c r="E25" s="17" t="s">
        <v>147</v>
      </c>
      <c r="F25" s="25">
        <v>11.85</v>
      </c>
      <c r="G25" s="25">
        <f t="shared" si="0"/>
        <v>-11.85</v>
      </c>
      <c r="H25" s="17" t="s">
        <v>772</v>
      </c>
      <c r="I25" s="17" t="s">
        <v>773</v>
      </c>
    </row>
    <row r="26" spans="1:9" ht="13.2" hidden="1" x14ac:dyDescent="0.25">
      <c r="A26" s="11">
        <v>46236.705355254628</v>
      </c>
      <c r="B26" s="17" t="s">
        <v>165</v>
      </c>
      <c r="C26" s="17"/>
      <c r="D26" s="17" t="s">
        <v>737</v>
      </c>
      <c r="E26" s="17" t="s">
        <v>147</v>
      </c>
      <c r="F26" s="25">
        <v>25.95</v>
      </c>
      <c r="G26" s="25">
        <f t="shared" si="0"/>
        <v>-25.95</v>
      </c>
      <c r="H26" s="17" t="s">
        <v>774</v>
      </c>
      <c r="I26" s="17" t="s">
        <v>775</v>
      </c>
    </row>
    <row r="27" spans="1:9" ht="13.2" hidden="1" x14ac:dyDescent="0.25">
      <c r="A27" s="11">
        <v>46236.705961736108</v>
      </c>
      <c r="B27" s="17" t="s">
        <v>776</v>
      </c>
      <c r="C27" s="17"/>
      <c r="D27" s="17" t="s">
        <v>113</v>
      </c>
      <c r="E27" s="17" t="s">
        <v>126</v>
      </c>
      <c r="F27" s="25">
        <v>100</v>
      </c>
      <c r="G27" s="25">
        <f t="shared" si="0"/>
        <v>100</v>
      </c>
      <c r="H27" s="17" t="s">
        <v>777</v>
      </c>
      <c r="I27" s="17" t="s">
        <v>778</v>
      </c>
    </row>
    <row r="28" spans="1:9" ht="13.2" hidden="1" x14ac:dyDescent="0.25">
      <c r="A28" s="11">
        <v>46236.88321753472</v>
      </c>
      <c r="B28" s="17" t="s">
        <v>165</v>
      </c>
      <c r="C28" s="17"/>
      <c r="D28" s="17" t="s">
        <v>737</v>
      </c>
      <c r="E28" s="17" t="s">
        <v>139</v>
      </c>
      <c r="F28" s="25">
        <v>224.7</v>
      </c>
      <c r="G28" s="25">
        <f t="shared" si="0"/>
        <v>-224.7</v>
      </c>
      <c r="H28" s="17" t="s">
        <v>779</v>
      </c>
      <c r="I28" s="17" t="s">
        <v>780</v>
      </c>
    </row>
    <row r="29" spans="1:9" ht="13.2" hidden="1" x14ac:dyDescent="0.25">
      <c r="A29" s="11">
        <v>46237.411996400464</v>
      </c>
      <c r="B29" s="17" t="s">
        <v>165</v>
      </c>
      <c r="C29" s="17"/>
      <c r="D29" s="17" t="s">
        <v>737</v>
      </c>
      <c r="E29" s="17" t="s">
        <v>147</v>
      </c>
      <c r="F29" s="25">
        <v>25</v>
      </c>
      <c r="G29" s="25">
        <f t="shared" si="0"/>
        <v>-25</v>
      </c>
      <c r="H29" s="17" t="s">
        <v>781</v>
      </c>
      <c r="I29" s="17" t="s">
        <v>782</v>
      </c>
    </row>
    <row r="30" spans="1:9" ht="13.2" hidden="1" x14ac:dyDescent="0.25">
      <c r="A30" s="11">
        <v>46263.377124236111</v>
      </c>
      <c r="B30" s="17" t="s">
        <v>165</v>
      </c>
      <c r="C30" s="17" t="s">
        <v>166</v>
      </c>
      <c r="D30" s="17" t="s">
        <v>113</v>
      </c>
      <c r="E30" s="17"/>
      <c r="F30" s="25"/>
      <c r="G30" s="25"/>
      <c r="H30" s="17"/>
      <c r="I30" s="17" t="s">
        <v>783</v>
      </c>
    </row>
    <row r="31" spans="1:9" ht="13.2" hidden="1" x14ac:dyDescent="0.25">
      <c r="A31" s="39">
        <v>46263.377124236111</v>
      </c>
      <c r="B31" s="17" t="s">
        <v>165</v>
      </c>
      <c r="C31" s="17" t="s">
        <v>166</v>
      </c>
      <c r="D31" s="17" t="s">
        <v>113</v>
      </c>
      <c r="E31" s="17"/>
      <c r="F31" s="25"/>
      <c r="G31" s="25"/>
      <c r="H31" s="17"/>
      <c r="I31" s="17" t="s">
        <v>784</v>
      </c>
    </row>
    <row r="32" spans="1:9" ht="13.2" hidden="1" x14ac:dyDescent="0.25">
      <c r="A32" s="11">
        <v>46265.544803923607</v>
      </c>
      <c r="B32" s="17" t="s">
        <v>165</v>
      </c>
      <c r="C32" s="17" t="s">
        <v>166</v>
      </c>
      <c r="D32" s="17" t="s">
        <v>113</v>
      </c>
      <c r="E32" s="17" t="s">
        <v>150</v>
      </c>
      <c r="F32" s="25">
        <v>34.9</v>
      </c>
      <c r="G32" s="25">
        <f t="shared" ref="G32:G74" si="4">IF(B32="Saída", -ABS(F32), ABS(F32))</f>
        <v>-34.9</v>
      </c>
      <c r="H32" s="17" t="s">
        <v>785</v>
      </c>
      <c r="I32" s="17" t="s">
        <v>786</v>
      </c>
    </row>
    <row r="33" spans="1:9" ht="13.2" hidden="1" x14ac:dyDescent="0.25">
      <c r="A33" s="11">
        <v>46245.386210081022</v>
      </c>
      <c r="B33" s="17" t="s">
        <v>116</v>
      </c>
      <c r="C33" s="17" t="s">
        <v>166</v>
      </c>
      <c r="D33" s="17" t="s">
        <v>117</v>
      </c>
      <c r="E33" s="17" t="s">
        <v>139</v>
      </c>
      <c r="F33" s="25">
        <v>1</v>
      </c>
      <c r="G33" s="25">
        <f t="shared" si="4"/>
        <v>-1</v>
      </c>
      <c r="H33" s="17" t="s">
        <v>787</v>
      </c>
      <c r="I33" s="17" t="s">
        <v>788</v>
      </c>
    </row>
    <row r="34" spans="1:9" ht="13.2" hidden="1" x14ac:dyDescent="0.25">
      <c r="A34" s="11">
        <v>46238.139889895829</v>
      </c>
      <c r="B34" s="17" t="s">
        <v>165</v>
      </c>
      <c r="C34" s="17"/>
      <c r="D34" s="17" t="s">
        <v>737</v>
      </c>
      <c r="E34" s="17" t="s">
        <v>145</v>
      </c>
      <c r="F34" s="25">
        <v>18.899999999999999</v>
      </c>
      <c r="G34" s="25">
        <f t="shared" si="4"/>
        <v>-18.899999999999999</v>
      </c>
      <c r="H34" s="17" t="s">
        <v>789</v>
      </c>
      <c r="I34" s="17" t="s">
        <v>790</v>
      </c>
    </row>
    <row r="35" spans="1:9" ht="13.2" hidden="1" x14ac:dyDescent="0.25">
      <c r="A35" s="11">
        <v>46239.517619837963</v>
      </c>
      <c r="B35" s="17" t="s">
        <v>165</v>
      </c>
      <c r="C35" s="17"/>
      <c r="D35" s="17" t="s">
        <v>737</v>
      </c>
      <c r="E35" s="17" t="s">
        <v>139</v>
      </c>
      <c r="F35" s="25">
        <v>19.97</v>
      </c>
      <c r="G35" s="25">
        <f t="shared" si="4"/>
        <v>-19.97</v>
      </c>
      <c r="H35" s="17" t="s">
        <v>791</v>
      </c>
      <c r="I35" s="17" t="s">
        <v>792</v>
      </c>
    </row>
    <row r="36" spans="1:9" ht="13.2" hidden="1" x14ac:dyDescent="0.25">
      <c r="A36" s="11">
        <v>46240.558918263894</v>
      </c>
      <c r="B36" s="17" t="s">
        <v>165</v>
      </c>
      <c r="C36" s="17"/>
      <c r="D36" s="17" t="s">
        <v>113</v>
      </c>
      <c r="E36" s="17" t="s">
        <v>150</v>
      </c>
      <c r="F36" s="25">
        <v>39.799999999999997</v>
      </c>
      <c r="G36" s="25">
        <f t="shared" si="4"/>
        <v>-39.799999999999997</v>
      </c>
      <c r="H36" s="17" t="s">
        <v>793</v>
      </c>
      <c r="I36" s="17" t="s">
        <v>794</v>
      </c>
    </row>
    <row r="37" spans="1:9" ht="13.2" hidden="1" x14ac:dyDescent="0.25">
      <c r="A37" s="11">
        <v>46243.648702650462</v>
      </c>
      <c r="B37" s="17" t="s">
        <v>165</v>
      </c>
      <c r="C37" s="17"/>
      <c r="D37" s="17" t="s">
        <v>113</v>
      </c>
      <c r="E37" s="17" t="s">
        <v>150</v>
      </c>
      <c r="F37" s="25">
        <v>49.91</v>
      </c>
      <c r="G37" s="25">
        <f t="shared" si="4"/>
        <v>-49.91</v>
      </c>
      <c r="H37" s="17" t="s">
        <v>795</v>
      </c>
      <c r="I37" s="17" t="s">
        <v>796</v>
      </c>
    </row>
    <row r="38" spans="1:9" ht="13.2" hidden="1" x14ac:dyDescent="0.25">
      <c r="A38" s="11">
        <v>46245.386210081022</v>
      </c>
      <c r="B38" s="17" t="s">
        <v>165</v>
      </c>
      <c r="C38" s="17"/>
      <c r="D38" s="17" t="s">
        <v>113</v>
      </c>
      <c r="E38" s="17" t="s">
        <v>143</v>
      </c>
      <c r="F38" s="25">
        <v>15</v>
      </c>
      <c r="G38" s="25">
        <f t="shared" si="4"/>
        <v>-15</v>
      </c>
      <c r="H38" s="17" t="s">
        <v>797</v>
      </c>
      <c r="I38" s="17" t="s">
        <v>798</v>
      </c>
    </row>
    <row r="39" spans="1:9" ht="13.2" hidden="1" x14ac:dyDescent="0.25">
      <c r="A39" s="11">
        <v>46245.475424421296</v>
      </c>
      <c r="B39" s="17" t="s">
        <v>165</v>
      </c>
      <c r="C39" s="17"/>
      <c r="D39" s="17" t="s">
        <v>737</v>
      </c>
      <c r="E39" s="17" t="s">
        <v>147</v>
      </c>
      <c r="F39" s="25">
        <v>5</v>
      </c>
      <c r="G39" s="25">
        <f t="shared" si="4"/>
        <v>-5</v>
      </c>
      <c r="H39" s="17" t="s">
        <v>799</v>
      </c>
      <c r="I39" s="17" t="s">
        <v>800</v>
      </c>
    </row>
    <row r="40" spans="1:9" ht="13.2" hidden="1" x14ac:dyDescent="0.25">
      <c r="A40" s="11">
        <v>46246.964849664349</v>
      </c>
      <c r="B40" s="17" t="s">
        <v>165</v>
      </c>
      <c r="C40" s="17"/>
      <c r="D40" s="17" t="s">
        <v>737</v>
      </c>
      <c r="E40" s="17" t="s">
        <v>150</v>
      </c>
      <c r="F40" s="25">
        <v>253.79</v>
      </c>
      <c r="G40" s="25">
        <f t="shared" si="4"/>
        <v>-253.79</v>
      </c>
      <c r="H40" s="17" t="s">
        <v>801</v>
      </c>
      <c r="I40" s="17" t="s">
        <v>802</v>
      </c>
    </row>
    <row r="41" spans="1:9" ht="13.2" x14ac:dyDescent="0.25">
      <c r="A41" s="11">
        <v>46247.804288483792</v>
      </c>
      <c r="B41" s="17" t="s">
        <v>165</v>
      </c>
      <c r="C41" s="17"/>
      <c r="D41" s="17" t="s">
        <v>113</v>
      </c>
      <c r="E41" s="17" t="s">
        <v>137</v>
      </c>
      <c r="F41" s="25">
        <v>166.3</v>
      </c>
      <c r="G41" s="25">
        <f t="shared" si="4"/>
        <v>-166.3</v>
      </c>
      <c r="H41" s="17" t="s">
        <v>803</v>
      </c>
      <c r="I41" s="17" t="s">
        <v>804</v>
      </c>
    </row>
    <row r="42" spans="1:9" ht="13.2" hidden="1" x14ac:dyDescent="0.25">
      <c r="A42" s="11">
        <v>46247.805203333337</v>
      </c>
      <c r="B42" s="17" t="s">
        <v>165</v>
      </c>
      <c r="C42" s="17"/>
      <c r="D42" s="17" t="s">
        <v>737</v>
      </c>
      <c r="E42" s="17" t="s">
        <v>139</v>
      </c>
      <c r="F42" s="25">
        <v>7</v>
      </c>
      <c r="G42" s="25">
        <f t="shared" si="4"/>
        <v>-7</v>
      </c>
      <c r="H42" s="17" t="s">
        <v>805</v>
      </c>
      <c r="I42" s="17" t="s">
        <v>806</v>
      </c>
    </row>
    <row r="43" spans="1:9" ht="13.2" hidden="1" x14ac:dyDescent="0.25">
      <c r="A43" s="11">
        <v>46247.809807928235</v>
      </c>
      <c r="B43" s="17" t="s">
        <v>165</v>
      </c>
      <c r="C43" s="17"/>
      <c r="D43" s="17" t="s">
        <v>737</v>
      </c>
      <c r="E43" s="17" t="s">
        <v>143</v>
      </c>
      <c r="F43" s="25">
        <v>19.690000000000001</v>
      </c>
      <c r="G43" s="25">
        <f t="shared" si="4"/>
        <v>-19.690000000000001</v>
      </c>
      <c r="H43" s="17" t="s">
        <v>807</v>
      </c>
      <c r="I43" s="17" t="s">
        <v>808</v>
      </c>
    </row>
    <row r="44" spans="1:9" ht="13.2" hidden="1" x14ac:dyDescent="0.25">
      <c r="A44" s="11">
        <v>46248.52629642361</v>
      </c>
      <c r="B44" s="17" t="s">
        <v>165</v>
      </c>
      <c r="C44" s="17"/>
      <c r="D44" s="17" t="s">
        <v>737</v>
      </c>
      <c r="E44" s="17" t="s">
        <v>147</v>
      </c>
      <c r="F44" s="25">
        <v>33.58</v>
      </c>
      <c r="G44" s="25">
        <f t="shared" si="4"/>
        <v>-33.58</v>
      </c>
      <c r="H44" s="17" t="s">
        <v>809</v>
      </c>
      <c r="I44" s="17" t="s">
        <v>810</v>
      </c>
    </row>
    <row r="45" spans="1:9" ht="13.2" hidden="1" x14ac:dyDescent="0.25">
      <c r="A45" s="11">
        <v>46248.526628784719</v>
      </c>
      <c r="B45" s="17" t="s">
        <v>165</v>
      </c>
      <c r="C45" s="17"/>
      <c r="D45" s="17" t="s">
        <v>737</v>
      </c>
      <c r="E45" s="17" t="s">
        <v>147</v>
      </c>
      <c r="F45" s="25">
        <v>10</v>
      </c>
      <c r="G45" s="25">
        <f t="shared" si="4"/>
        <v>-10</v>
      </c>
      <c r="H45" s="17" t="s">
        <v>811</v>
      </c>
      <c r="I45" s="17" t="s">
        <v>812</v>
      </c>
    </row>
    <row r="46" spans="1:9" ht="13.2" hidden="1" x14ac:dyDescent="0.25">
      <c r="A46" s="39">
        <v>46248.328761574077</v>
      </c>
      <c r="B46" s="17" t="s">
        <v>165</v>
      </c>
      <c r="C46" s="17"/>
      <c r="D46" s="17" t="s">
        <v>113</v>
      </c>
      <c r="E46" s="17" t="s">
        <v>139</v>
      </c>
      <c r="F46" s="25">
        <v>24</v>
      </c>
      <c r="G46" s="25">
        <f t="shared" si="4"/>
        <v>-24</v>
      </c>
      <c r="H46" s="17" t="s">
        <v>813</v>
      </c>
      <c r="I46" s="17" t="s">
        <v>814</v>
      </c>
    </row>
    <row r="47" spans="1:9" ht="13.2" hidden="1" x14ac:dyDescent="0.25">
      <c r="A47" s="39">
        <v>46249.329652777778</v>
      </c>
      <c r="B47" s="17" t="s">
        <v>165</v>
      </c>
      <c r="C47" s="17"/>
      <c r="D47" s="17" t="s">
        <v>113</v>
      </c>
      <c r="E47" s="17" t="s">
        <v>150</v>
      </c>
      <c r="F47" s="25">
        <v>40</v>
      </c>
      <c r="G47" s="25">
        <f t="shared" si="4"/>
        <v>-40</v>
      </c>
      <c r="H47" s="17" t="s">
        <v>815</v>
      </c>
      <c r="I47" s="17" t="s">
        <v>816</v>
      </c>
    </row>
    <row r="48" spans="1:9" ht="13.2" hidden="1" x14ac:dyDescent="0.25">
      <c r="A48" s="39">
        <v>46249.329976851855</v>
      </c>
      <c r="B48" s="17" t="s">
        <v>165</v>
      </c>
      <c r="C48" s="17"/>
      <c r="D48" s="17" t="s">
        <v>737</v>
      </c>
      <c r="E48" s="17" t="s">
        <v>139</v>
      </c>
      <c r="F48" s="25">
        <v>7</v>
      </c>
      <c r="G48" s="25">
        <f t="shared" si="4"/>
        <v>-7</v>
      </c>
      <c r="H48" s="17" t="s">
        <v>817</v>
      </c>
      <c r="I48" s="17" t="s">
        <v>818</v>
      </c>
    </row>
    <row r="49" spans="1:26" ht="13.2" hidden="1" x14ac:dyDescent="0.25">
      <c r="A49" s="11">
        <v>46251.33026263889</v>
      </c>
      <c r="B49" s="17" t="s">
        <v>165</v>
      </c>
      <c r="C49" s="17"/>
      <c r="D49" s="17" t="s">
        <v>737</v>
      </c>
      <c r="E49" s="17" t="s">
        <v>143</v>
      </c>
      <c r="F49" s="25">
        <v>15</v>
      </c>
      <c r="G49" s="25">
        <f t="shared" si="4"/>
        <v>-15</v>
      </c>
      <c r="H49" s="17" t="s">
        <v>819</v>
      </c>
      <c r="I49" s="17" t="s">
        <v>820</v>
      </c>
    </row>
    <row r="50" spans="1:26" ht="13.2" hidden="1" x14ac:dyDescent="0.25">
      <c r="A50" s="11">
        <v>46251.331525879628</v>
      </c>
      <c r="B50" s="17" t="s">
        <v>165</v>
      </c>
      <c r="C50" s="17"/>
      <c r="D50" s="17" t="s">
        <v>737</v>
      </c>
      <c r="E50" s="17" t="s">
        <v>139</v>
      </c>
      <c r="F50" s="25">
        <v>83.6</v>
      </c>
      <c r="G50" s="25">
        <f t="shared" si="4"/>
        <v>-83.6</v>
      </c>
      <c r="H50" s="17" t="s">
        <v>821</v>
      </c>
      <c r="I50" s="17" t="s">
        <v>822</v>
      </c>
    </row>
    <row r="51" spans="1:26" ht="13.2" hidden="1" x14ac:dyDescent="0.25">
      <c r="A51" s="11">
        <v>46251.331855775468</v>
      </c>
      <c r="B51" s="17" t="s">
        <v>165</v>
      </c>
      <c r="C51" s="17"/>
      <c r="D51" s="17" t="s">
        <v>737</v>
      </c>
      <c r="E51" s="17" t="s">
        <v>139</v>
      </c>
      <c r="F51" s="17">
        <v>27.12</v>
      </c>
      <c r="G51" s="25">
        <f t="shared" si="4"/>
        <v>-27.12</v>
      </c>
      <c r="H51" s="17" t="s">
        <v>823</v>
      </c>
      <c r="I51" s="17" t="s">
        <v>824</v>
      </c>
    </row>
    <row r="52" spans="1:26" ht="13.2" hidden="1" x14ac:dyDescent="0.25">
      <c r="A52" s="39">
        <v>46253.58152777778</v>
      </c>
      <c r="B52" s="17" t="s">
        <v>165</v>
      </c>
      <c r="C52" s="17"/>
      <c r="D52" s="17" t="s">
        <v>737</v>
      </c>
      <c r="E52" s="17" t="s">
        <v>124</v>
      </c>
      <c r="F52" s="25">
        <v>82.4</v>
      </c>
      <c r="G52" s="25">
        <f t="shared" si="4"/>
        <v>-82.4</v>
      </c>
      <c r="H52" s="17" t="s">
        <v>825</v>
      </c>
      <c r="I52" s="17" t="s">
        <v>826</v>
      </c>
    </row>
    <row r="53" spans="1:26" ht="13.2" hidden="1" x14ac:dyDescent="0.25">
      <c r="A53" s="40">
        <v>46253.580911527781</v>
      </c>
      <c r="B53" s="30" t="s">
        <v>165</v>
      </c>
      <c r="C53" s="30" t="s">
        <v>166</v>
      </c>
      <c r="D53" s="30" t="s">
        <v>113</v>
      </c>
      <c r="E53" s="30" t="s">
        <v>147</v>
      </c>
      <c r="F53" s="33">
        <v>110</v>
      </c>
      <c r="G53" s="34">
        <f t="shared" si="4"/>
        <v>-110</v>
      </c>
      <c r="H53" s="30" t="s">
        <v>827</v>
      </c>
      <c r="I53" s="30" t="s">
        <v>828</v>
      </c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3.2" hidden="1" x14ac:dyDescent="0.25">
      <c r="A54" s="40">
        <v>46253.580911527781</v>
      </c>
      <c r="B54" s="30" t="s">
        <v>165</v>
      </c>
      <c r="C54" s="30" t="s">
        <v>166</v>
      </c>
      <c r="D54" s="30" t="s">
        <v>113</v>
      </c>
      <c r="E54" s="30" t="s">
        <v>134</v>
      </c>
      <c r="F54" s="33">
        <v>34</v>
      </c>
      <c r="G54" s="34">
        <f t="shared" si="4"/>
        <v>-34</v>
      </c>
      <c r="H54" s="30" t="s">
        <v>829</v>
      </c>
      <c r="I54" s="30" t="s">
        <v>830</v>
      </c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3.2" x14ac:dyDescent="0.25">
      <c r="A55" s="40">
        <v>46253.580911527781</v>
      </c>
      <c r="B55" s="30" t="s">
        <v>165</v>
      </c>
      <c r="C55" s="30" t="s">
        <v>166</v>
      </c>
      <c r="D55" s="30" t="s">
        <v>113</v>
      </c>
      <c r="E55" s="30" t="s">
        <v>137</v>
      </c>
      <c r="F55" s="33">
        <v>145.51</v>
      </c>
      <c r="G55" s="34">
        <f t="shared" si="4"/>
        <v>-145.51</v>
      </c>
      <c r="H55" s="30" t="s">
        <v>831</v>
      </c>
      <c r="I55" s="30" t="s">
        <v>832</v>
      </c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3.2" hidden="1" x14ac:dyDescent="0.25">
      <c r="A56" s="40">
        <v>46253.580911527781</v>
      </c>
      <c r="B56" s="35" t="s">
        <v>165</v>
      </c>
      <c r="C56" s="35" t="s">
        <v>166</v>
      </c>
      <c r="D56" s="35" t="s">
        <v>113</v>
      </c>
      <c r="E56" s="35" t="s">
        <v>150</v>
      </c>
      <c r="F56" s="42">
        <v>54</v>
      </c>
      <c r="G56" s="34">
        <f t="shared" si="4"/>
        <v>-54</v>
      </c>
      <c r="H56" s="30" t="s">
        <v>833</v>
      </c>
      <c r="I56" s="30" t="s">
        <v>834</v>
      </c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3.2" hidden="1" x14ac:dyDescent="0.25">
      <c r="A57" s="40">
        <v>46254.580914351849</v>
      </c>
      <c r="B57" s="35" t="s">
        <v>165</v>
      </c>
      <c r="C57" s="35" t="s">
        <v>166</v>
      </c>
      <c r="D57" s="35" t="s">
        <v>117</v>
      </c>
      <c r="E57" s="35" t="s">
        <v>139</v>
      </c>
      <c r="F57" s="42">
        <v>214.5</v>
      </c>
      <c r="G57" s="34">
        <f t="shared" si="4"/>
        <v>-214.5</v>
      </c>
      <c r="H57" s="30" t="s">
        <v>835</v>
      </c>
      <c r="I57" s="30" t="s">
        <v>836</v>
      </c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3.2" hidden="1" x14ac:dyDescent="0.25">
      <c r="A58" s="40">
        <v>46254.580914351849</v>
      </c>
      <c r="B58" s="35" t="s">
        <v>165</v>
      </c>
      <c r="C58" s="35" t="s">
        <v>166</v>
      </c>
      <c r="D58" s="35" t="s">
        <v>113</v>
      </c>
      <c r="E58" s="35" t="s">
        <v>147</v>
      </c>
      <c r="F58" s="42">
        <v>120</v>
      </c>
      <c r="G58" s="34">
        <f t="shared" si="4"/>
        <v>-120</v>
      </c>
      <c r="H58" s="30" t="s">
        <v>837</v>
      </c>
      <c r="I58" s="30" t="s">
        <v>838</v>
      </c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3.2" hidden="1" x14ac:dyDescent="0.25">
      <c r="A59" s="40">
        <v>46256.580914351849</v>
      </c>
      <c r="B59" s="17" t="s">
        <v>116</v>
      </c>
      <c r="C59" s="17" t="s">
        <v>166</v>
      </c>
      <c r="D59" s="17" t="s">
        <v>113</v>
      </c>
      <c r="E59" s="17" t="s">
        <v>136</v>
      </c>
      <c r="F59" s="25">
        <v>8.7899999999999991</v>
      </c>
      <c r="G59" s="25">
        <f t="shared" si="4"/>
        <v>-8.7899999999999991</v>
      </c>
      <c r="H59" s="17" t="s">
        <v>839</v>
      </c>
      <c r="I59" s="17" t="s">
        <v>840</v>
      </c>
    </row>
    <row r="60" spans="1:26" ht="13.2" hidden="1" x14ac:dyDescent="0.25">
      <c r="A60" s="40">
        <v>46256.580914351849</v>
      </c>
      <c r="B60" s="17" t="s">
        <v>116</v>
      </c>
      <c r="C60" s="17" t="s">
        <v>166</v>
      </c>
      <c r="D60" s="17" t="s">
        <v>113</v>
      </c>
      <c r="E60" s="17" t="s">
        <v>148</v>
      </c>
      <c r="F60" s="25">
        <v>40.75</v>
      </c>
      <c r="G60" s="25">
        <f t="shared" si="4"/>
        <v>-40.75</v>
      </c>
      <c r="H60" s="17" t="s">
        <v>841</v>
      </c>
      <c r="I60" s="17" t="s">
        <v>842</v>
      </c>
    </row>
    <row r="61" spans="1:26" ht="13.2" hidden="1" x14ac:dyDescent="0.25">
      <c r="A61" s="40">
        <v>46256.580914351849</v>
      </c>
      <c r="B61" s="17" t="s">
        <v>116</v>
      </c>
      <c r="C61" s="17" t="s">
        <v>166</v>
      </c>
      <c r="D61" s="17" t="s">
        <v>113</v>
      </c>
      <c r="E61" s="17" t="s">
        <v>139</v>
      </c>
      <c r="F61" s="25">
        <v>78.36</v>
      </c>
      <c r="G61" s="25">
        <f t="shared" si="4"/>
        <v>-78.36</v>
      </c>
      <c r="H61" s="17" t="s">
        <v>843</v>
      </c>
      <c r="I61" s="17" t="s">
        <v>844</v>
      </c>
    </row>
    <row r="62" spans="1:26" ht="13.2" hidden="1" x14ac:dyDescent="0.25">
      <c r="A62" s="40">
        <v>46257.580914351849</v>
      </c>
      <c r="B62" s="17" t="s">
        <v>116</v>
      </c>
      <c r="C62" s="17" t="s">
        <v>166</v>
      </c>
      <c r="D62" s="17" t="s">
        <v>117</v>
      </c>
      <c r="E62" s="17" t="s">
        <v>147</v>
      </c>
      <c r="F62" s="25">
        <v>30</v>
      </c>
      <c r="G62" s="25">
        <f t="shared" si="4"/>
        <v>-30</v>
      </c>
      <c r="H62" s="17" t="s">
        <v>845</v>
      </c>
      <c r="I62" s="17" t="s">
        <v>846</v>
      </c>
    </row>
    <row r="63" spans="1:26" ht="13.2" hidden="1" x14ac:dyDescent="0.25">
      <c r="A63" s="40">
        <v>46257.580914351849</v>
      </c>
      <c r="B63" s="17" t="s">
        <v>116</v>
      </c>
      <c r="C63" s="17" t="s">
        <v>166</v>
      </c>
      <c r="D63" s="17" t="s">
        <v>117</v>
      </c>
      <c r="E63" s="17" t="s">
        <v>139</v>
      </c>
      <c r="F63" s="25">
        <v>60.5</v>
      </c>
      <c r="G63" s="25">
        <f t="shared" si="4"/>
        <v>-60.5</v>
      </c>
      <c r="H63" s="17" t="s">
        <v>847</v>
      </c>
      <c r="I63" s="17" t="s">
        <v>848</v>
      </c>
    </row>
    <row r="64" spans="1:26" ht="13.2" x14ac:dyDescent="0.25">
      <c r="A64" s="40">
        <v>46257.580914351849</v>
      </c>
      <c r="B64" s="17" t="s">
        <v>116</v>
      </c>
      <c r="C64" s="17" t="s">
        <v>166</v>
      </c>
      <c r="D64" s="17" t="s">
        <v>113</v>
      </c>
      <c r="E64" s="17" t="s">
        <v>137</v>
      </c>
      <c r="F64" s="25">
        <v>62.36</v>
      </c>
      <c r="G64" s="25">
        <f t="shared" si="4"/>
        <v>-62.36</v>
      </c>
      <c r="H64" s="17" t="s">
        <v>849</v>
      </c>
      <c r="I64" s="17" t="s">
        <v>850</v>
      </c>
    </row>
    <row r="65" spans="1:26" ht="13.2" x14ac:dyDescent="0.25">
      <c r="A65" s="40">
        <v>46259.580914351849</v>
      </c>
      <c r="B65" s="17" t="s">
        <v>116</v>
      </c>
      <c r="C65" s="17" t="s">
        <v>166</v>
      </c>
      <c r="D65" s="17" t="s">
        <v>113</v>
      </c>
      <c r="E65" s="17" t="s">
        <v>137</v>
      </c>
      <c r="F65" s="25">
        <v>40</v>
      </c>
      <c r="G65" s="25">
        <f t="shared" si="4"/>
        <v>-40</v>
      </c>
      <c r="H65" s="17" t="s">
        <v>849</v>
      </c>
      <c r="I65" s="17" t="s">
        <v>851</v>
      </c>
    </row>
    <row r="66" spans="1:26" ht="13.2" hidden="1" x14ac:dyDescent="0.25">
      <c r="A66" s="40">
        <v>46260.580914351849</v>
      </c>
      <c r="B66" s="17" t="s">
        <v>116</v>
      </c>
      <c r="C66" s="17" t="s">
        <v>166</v>
      </c>
      <c r="D66" s="17" t="s">
        <v>113</v>
      </c>
      <c r="E66" s="17" t="s">
        <v>147</v>
      </c>
      <c r="F66" s="25">
        <v>20</v>
      </c>
      <c r="G66" s="25">
        <f t="shared" si="4"/>
        <v>-20</v>
      </c>
      <c r="H66" s="17" t="s">
        <v>852</v>
      </c>
      <c r="I66" s="17" t="s">
        <v>853</v>
      </c>
    </row>
    <row r="67" spans="1:26" ht="13.2" hidden="1" x14ac:dyDescent="0.25">
      <c r="A67" s="40">
        <v>46260.580914351849</v>
      </c>
      <c r="B67" s="17" t="s">
        <v>116</v>
      </c>
      <c r="C67" s="17" t="s">
        <v>166</v>
      </c>
      <c r="D67" s="17" t="s">
        <v>117</v>
      </c>
      <c r="E67" s="17" t="s">
        <v>139</v>
      </c>
      <c r="F67" s="25">
        <v>39</v>
      </c>
      <c r="G67" s="25">
        <f t="shared" si="4"/>
        <v>-39</v>
      </c>
      <c r="H67" s="17" t="s">
        <v>854</v>
      </c>
      <c r="I67" s="17" t="s">
        <v>855</v>
      </c>
    </row>
    <row r="68" spans="1:26" ht="13.2" hidden="1" x14ac:dyDescent="0.25">
      <c r="A68" s="40">
        <v>46260.580914351849</v>
      </c>
      <c r="B68" s="17" t="s">
        <v>116</v>
      </c>
      <c r="C68" s="17" t="s">
        <v>166</v>
      </c>
      <c r="D68" s="17" t="s">
        <v>113</v>
      </c>
      <c r="E68" s="17" t="s">
        <v>150</v>
      </c>
      <c r="F68" s="25">
        <v>6</v>
      </c>
      <c r="G68" s="25">
        <f t="shared" si="4"/>
        <v>-6</v>
      </c>
      <c r="H68" s="17" t="s">
        <v>856</v>
      </c>
      <c r="I68" s="17" t="s">
        <v>857</v>
      </c>
    </row>
    <row r="69" spans="1:26" ht="13.2" hidden="1" x14ac:dyDescent="0.25">
      <c r="A69" s="40">
        <v>46261.580914351849</v>
      </c>
      <c r="B69" s="17" t="s">
        <v>116</v>
      </c>
      <c r="C69" s="17" t="s">
        <v>166</v>
      </c>
      <c r="D69" s="17" t="s">
        <v>113</v>
      </c>
      <c r="E69" s="17" t="s">
        <v>138</v>
      </c>
      <c r="F69" s="25">
        <v>39.99</v>
      </c>
      <c r="G69" s="25">
        <f t="shared" si="4"/>
        <v>-39.99</v>
      </c>
      <c r="H69" s="17" t="s">
        <v>858</v>
      </c>
      <c r="I69" s="17" t="s">
        <v>859</v>
      </c>
    </row>
    <row r="70" spans="1:26" ht="13.2" hidden="1" x14ac:dyDescent="0.25">
      <c r="A70" s="40">
        <v>46261.580914351849</v>
      </c>
      <c r="B70" s="17" t="s">
        <v>116</v>
      </c>
      <c r="C70" s="17" t="s">
        <v>166</v>
      </c>
      <c r="D70" s="17" t="s">
        <v>117</v>
      </c>
      <c r="E70" s="17" t="s">
        <v>150</v>
      </c>
      <c r="F70" s="25">
        <v>36.25</v>
      </c>
      <c r="G70" s="25">
        <f t="shared" si="4"/>
        <v>-36.25</v>
      </c>
      <c r="H70" s="17" t="s">
        <v>371</v>
      </c>
      <c r="I70" s="17" t="s">
        <v>860</v>
      </c>
    </row>
    <row r="71" spans="1:26" ht="13.2" x14ac:dyDescent="0.25">
      <c r="A71" s="40">
        <v>46261.580914351849</v>
      </c>
      <c r="B71" s="17" t="s">
        <v>116</v>
      </c>
      <c r="C71" s="17" t="s">
        <v>166</v>
      </c>
      <c r="D71" s="17" t="s">
        <v>113</v>
      </c>
      <c r="E71" s="17" t="s">
        <v>137</v>
      </c>
      <c r="F71" s="25">
        <v>60.8</v>
      </c>
      <c r="G71" s="25">
        <f t="shared" si="4"/>
        <v>-60.8</v>
      </c>
      <c r="H71" s="17" t="s">
        <v>736</v>
      </c>
      <c r="I71" s="17" t="s">
        <v>861</v>
      </c>
    </row>
    <row r="72" spans="1:26" ht="13.2" hidden="1" x14ac:dyDescent="0.25">
      <c r="A72" s="40">
        <v>46262.580914351849</v>
      </c>
      <c r="B72" s="17" t="s">
        <v>116</v>
      </c>
      <c r="C72" s="17" t="s">
        <v>166</v>
      </c>
      <c r="D72" s="17" t="s">
        <v>113</v>
      </c>
      <c r="E72" s="17" t="s">
        <v>150</v>
      </c>
      <c r="F72" s="25">
        <v>41.6</v>
      </c>
      <c r="G72" s="25">
        <f t="shared" si="4"/>
        <v>-41.6</v>
      </c>
      <c r="H72" s="17" t="s">
        <v>371</v>
      </c>
      <c r="I72" s="17" t="s">
        <v>862</v>
      </c>
    </row>
    <row r="73" spans="1:26" ht="13.2" hidden="1" x14ac:dyDescent="0.25">
      <c r="A73" s="40">
        <v>46262.580914351849</v>
      </c>
      <c r="B73" s="17" t="s">
        <v>116</v>
      </c>
      <c r="C73" s="17" t="s">
        <v>166</v>
      </c>
      <c r="D73" s="17" t="s">
        <v>113</v>
      </c>
      <c r="E73" s="17" t="s">
        <v>150</v>
      </c>
      <c r="F73" s="25">
        <v>12</v>
      </c>
      <c r="G73" s="25">
        <f t="shared" si="4"/>
        <v>-12</v>
      </c>
      <c r="H73" s="17" t="s">
        <v>856</v>
      </c>
      <c r="I73" s="17" t="s">
        <v>863</v>
      </c>
    </row>
    <row r="74" spans="1:26" ht="13.2" hidden="1" x14ac:dyDescent="0.25">
      <c r="A74" s="40">
        <v>46255.580914351849</v>
      </c>
      <c r="B74" s="17" t="s">
        <v>116</v>
      </c>
      <c r="C74" s="17" t="s">
        <v>166</v>
      </c>
      <c r="D74" s="17" t="s">
        <v>117</v>
      </c>
      <c r="E74" s="17" t="s">
        <v>147</v>
      </c>
      <c r="F74" s="25">
        <v>21.68</v>
      </c>
      <c r="G74" s="25">
        <f t="shared" si="4"/>
        <v>-21.68</v>
      </c>
      <c r="H74" s="17" t="s">
        <v>864</v>
      </c>
      <c r="I74" s="17" t="s">
        <v>865</v>
      </c>
    </row>
    <row r="75" spans="1:26" ht="13.2" hidden="1" x14ac:dyDescent="0.25">
      <c r="A75" s="40">
        <v>46255.580914351849</v>
      </c>
      <c r="B75" s="43" t="s">
        <v>112</v>
      </c>
      <c r="C75" s="35" t="s">
        <v>166</v>
      </c>
      <c r="D75" s="35" t="s">
        <v>113</v>
      </c>
      <c r="E75" s="35" t="s">
        <v>147</v>
      </c>
      <c r="F75" s="42" t="s">
        <v>866</v>
      </c>
      <c r="G75" s="44" t="s">
        <v>866</v>
      </c>
      <c r="H75" s="35" t="s">
        <v>867</v>
      </c>
      <c r="I75" s="30" t="s">
        <v>868</v>
      </c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3.2" hidden="1" x14ac:dyDescent="0.25">
      <c r="A76" s="40">
        <v>46263.580914351849</v>
      </c>
      <c r="B76" s="43" t="s">
        <v>116</v>
      </c>
      <c r="C76" s="35" t="s">
        <v>166</v>
      </c>
      <c r="D76" s="35" t="s">
        <v>113</v>
      </c>
      <c r="E76" s="35" t="s">
        <v>136</v>
      </c>
      <c r="F76" s="42">
        <v>12</v>
      </c>
      <c r="G76" s="44">
        <f t="shared" ref="G76:G77" si="5">IF(B76="Saída", -ABS(F76), ABS(F76))</f>
        <v>-12</v>
      </c>
      <c r="H76" s="35" t="s">
        <v>869</v>
      </c>
      <c r="I76" s="30" t="s">
        <v>870</v>
      </c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3.2" hidden="1" x14ac:dyDescent="0.25">
      <c r="A77" s="11">
        <v>46265.545664375</v>
      </c>
      <c r="B77" s="17" t="s">
        <v>165</v>
      </c>
      <c r="C77" s="17" t="s">
        <v>166</v>
      </c>
      <c r="D77" s="17" t="s">
        <v>737</v>
      </c>
      <c r="E77" s="17" t="s">
        <v>143</v>
      </c>
      <c r="F77" s="17">
        <v>71.540000000000006</v>
      </c>
      <c r="G77" s="44">
        <f t="shared" si="5"/>
        <v>-71.540000000000006</v>
      </c>
      <c r="H77" s="17" t="s">
        <v>871</v>
      </c>
      <c r="I77" s="17" t="s">
        <v>872</v>
      </c>
    </row>
    <row r="78" spans="1:26" ht="13.2" hidden="1" x14ac:dyDescent="0.25">
      <c r="A78" s="11">
        <v>46265.87459929398</v>
      </c>
      <c r="B78" s="17" t="s">
        <v>165</v>
      </c>
      <c r="C78" s="17" t="s">
        <v>166</v>
      </c>
      <c r="D78" s="17" t="s">
        <v>737</v>
      </c>
      <c r="E78" s="17" t="s">
        <v>138</v>
      </c>
      <c r="F78" s="17">
        <v>33.33</v>
      </c>
      <c r="G78" s="17"/>
      <c r="H78" s="17" t="s">
        <v>873</v>
      </c>
      <c r="I78" s="17" t="s">
        <v>874</v>
      </c>
    </row>
    <row r="79" spans="1:26" ht="13.2" hidden="1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26" ht="13.2" hidden="1" x14ac:dyDescent="0.25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2" hidden="1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2" hidden="1" x14ac:dyDescent="0.25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2" hidden="1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2" hidden="1" x14ac:dyDescent="0.25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2" hidden="1" x14ac:dyDescent="0.25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2" hidden="1" x14ac:dyDescent="0.25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2" hidden="1" x14ac:dyDescent="0.25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2" hidden="1" x14ac:dyDescent="0.25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2" hidden="1" x14ac:dyDescent="0.25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2" hidden="1" x14ac:dyDescent="0.25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2" hidden="1" x14ac:dyDescent="0.25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2" hidden="1" x14ac:dyDescent="0.25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2" hidden="1" x14ac:dyDescent="0.25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2" hidden="1" x14ac:dyDescent="0.25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2" hidden="1" x14ac:dyDescent="0.25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2" hidden="1" x14ac:dyDescent="0.25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2" hidden="1" x14ac:dyDescent="0.25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2" hidden="1" x14ac:dyDescent="0.25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3.2" hidden="1" x14ac:dyDescent="0.25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3.2" hidden="1" x14ac:dyDescent="0.25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3.2" hidden="1" x14ac:dyDescent="0.25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3.2" hidden="1" x14ac:dyDescent="0.25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3.2" hidden="1" x14ac:dyDescent="0.25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3.2" hidden="1" x14ac:dyDescent="0.25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3.2" hidden="1" x14ac:dyDescent="0.25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3.2" hidden="1" x14ac:dyDescent="0.25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3.2" hidden="1" x14ac:dyDescent="0.25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3.2" hidden="1" x14ac:dyDescent="0.25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3.2" hidden="1" x14ac:dyDescent="0.25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3.2" hidden="1" x14ac:dyDescent="0.25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3.2" hidden="1" x14ac:dyDescent="0.25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3.2" hidden="1" x14ac:dyDescent="0.25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3.2" hidden="1" x14ac:dyDescent="0.25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3.2" hidden="1" x14ac:dyDescent="0.25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3.2" hidden="1" x14ac:dyDescent="0.25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3.2" hidden="1" x14ac:dyDescent="0.25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3.2" hidden="1" x14ac:dyDescent="0.25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3.2" hidden="1" x14ac:dyDescent="0.25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3.2" hidden="1" x14ac:dyDescent="0.25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3.2" hidden="1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3.2" hidden="1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3.2" hidden="1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3.2" hidden="1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3.2" hidden="1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3.2" hidden="1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3.2" hidden="1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3.2" hidden="1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3.2" hidden="1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3.2" hidden="1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3.2" hidden="1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3.2" hidden="1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3.2" hidden="1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3.2" hidden="1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3.2" hidden="1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3.2" hidden="1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3.2" hidden="1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3.2" hidden="1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3.2" hidden="1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3.2" hidden="1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3.2" hidden="1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3.2" hidden="1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3.2" hidden="1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3.2" hidden="1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3.2" hidden="1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3.2" hidden="1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3.2" hidden="1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3.2" hidden="1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3.2" hidden="1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3.2" hidden="1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3.2" hidden="1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3.2" hidden="1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3.2" hidden="1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3.2" hidden="1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3.2" hidden="1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3.2" hidden="1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3.2" hidden="1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3.2" hidden="1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3.2" hidden="1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3.2" hidden="1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3.2" hidden="1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3.2" hidden="1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3.2" hidden="1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3.2" hidden="1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3.2" hidden="1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3.2" hidden="1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3.2" hidden="1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3.2" hidden="1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3.2" hidden="1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3.2" hidden="1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3.2" hidden="1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3.2" hidden="1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3.2" hidden="1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3.2" hidden="1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3.2" hidden="1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3.2" hidden="1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3.2" hidden="1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3.2" hidden="1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3.2" hidden="1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3.2" hidden="1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3.2" hidden="1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3.2" hidden="1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3.2" hidden="1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3.2" hidden="1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3.2" hidden="1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3.2" hidden="1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3.2" hidden="1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3.2" hidden="1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3.2" hidden="1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3.2" hidden="1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3.2" hidden="1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3.2" hidden="1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3.2" hidden="1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3.2" hidden="1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3.2" hidden="1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3.2" hidden="1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3.2" hidden="1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3.2" hidden="1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3.2" hidden="1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3.2" hidden="1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3.2" hidden="1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ht="13.2" hidden="1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ht="13.2" hidden="1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ht="13.2" hidden="1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ht="13.2" hidden="1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ht="13.2" hidden="1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ht="13.2" hidden="1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ht="13.2" hidden="1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ht="13.2" hidden="1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ht="13.2" hidden="1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ht="13.2" hidden="1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ht="13.2" hidden="1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ht="13.2" hidden="1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ht="13.2" hidden="1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ht="13.2" hidden="1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ht="13.2" hidden="1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ht="13.2" hidden="1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ht="13.2" hidden="1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ht="13.2" hidden="1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ht="13.2" hidden="1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ht="13.2" hidden="1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ht="13.2" hidden="1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ht="13.2" hidden="1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ht="13.2" hidden="1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ht="13.2" hidden="1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ht="13.2" hidden="1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ht="13.2" hidden="1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ht="13.2" hidden="1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ht="13.2" hidden="1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ht="13.2" hidden="1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ht="13.2" hidden="1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ht="13.2" hidden="1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ht="13.2" hidden="1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ht="13.2" hidden="1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ht="13.2" hidden="1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ht="13.2" hidden="1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ht="13.2" hidden="1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ht="13.2" hidden="1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ht="13.2" hidden="1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ht="13.2" hidden="1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ht="13.2" hidden="1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ht="13.2" hidden="1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ht="13.2" hidden="1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ht="13.2" hidden="1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ht="13.2" hidden="1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ht="13.2" hidden="1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ht="13.2" hidden="1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ht="13.2" hidden="1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ht="13.2" hidden="1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ht="13.2" hidden="1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ht="13.2" hidden="1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ht="13.2" hidden="1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ht="13.2" hidden="1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ht="13.2" hidden="1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ht="13.2" hidden="1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ht="13.2" hidden="1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ht="13.2" hidden="1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ht="13.2" hidden="1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ht="13.2" hidden="1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ht="13.2" hidden="1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ht="13.2" hidden="1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ht="13.2" hidden="1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ht="13.2" hidden="1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ht="13.2" hidden="1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ht="13.2" hidden="1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ht="13.2" hidden="1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ht="13.2" hidden="1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ht="13.2" hidden="1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ht="13.2" hidden="1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ht="13.2" hidden="1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ht="13.2" hidden="1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ht="13.2" hidden="1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ht="13.2" hidden="1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ht="13.2" hidden="1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ht="13.2" hidden="1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ht="13.2" hidden="1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ht="13.2" hidden="1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ht="13.2" hidden="1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ht="13.2" hidden="1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ht="13.2" hidden="1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ht="13.2" hidden="1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ht="13.2" hidden="1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ht="13.2" hidden="1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ht="13.2" hidden="1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ht="13.2" hidden="1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ht="13.2" hidden="1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ht="13.2" hidden="1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ht="13.2" hidden="1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ht="13.2" hidden="1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ht="13.2" hidden="1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ht="13.2" hidden="1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ht="13.2" hidden="1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ht="13.2" hidden="1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ht="13.2" hidden="1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ht="13.2" hidden="1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ht="13.2" hidden="1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ht="13.2" hidden="1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ht="13.2" hidden="1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ht="13.2" hidden="1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ht="13.2" hidden="1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ht="13.2" hidden="1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ht="13.2" hidden="1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ht="13.2" hidden="1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ht="13.2" hidden="1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ht="13.2" hidden="1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ht="13.2" hidden="1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ht="13.2" hidden="1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ht="13.2" hidden="1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ht="13.2" hidden="1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ht="13.2" hidden="1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ht="13.2" hidden="1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ht="13.2" hidden="1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ht="13.2" hidden="1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ht="13.2" hidden="1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ht="13.2" hidden="1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ht="13.2" hidden="1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ht="13.2" hidden="1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ht="13.2" hidden="1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ht="13.2" hidden="1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ht="13.2" hidden="1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ht="13.2" hidden="1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ht="13.2" hidden="1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ht="13.2" hidden="1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ht="13.2" hidden="1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ht="13.2" hidden="1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ht="13.2" hidden="1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ht="13.2" hidden="1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ht="13.2" hidden="1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ht="13.2" hidden="1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ht="13.2" hidden="1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ht="13.2" hidden="1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ht="13.2" hidden="1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ht="13.2" hidden="1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ht="13.2" hidden="1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ht="13.2" hidden="1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ht="13.2" hidden="1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ht="13.2" hidden="1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ht="13.2" hidden="1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ht="13.2" hidden="1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ht="13.2" hidden="1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ht="13.2" hidden="1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ht="13.2" hidden="1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ht="13.2" hidden="1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ht="13.2" hidden="1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ht="13.2" hidden="1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ht="13.2" hidden="1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ht="13.2" hidden="1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ht="13.2" hidden="1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ht="13.2" hidden="1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ht="13.2" hidden="1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ht="13.2" hidden="1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ht="13.2" hidden="1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ht="13.2" hidden="1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ht="13.2" hidden="1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ht="13.2" hidden="1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ht="13.2" hidden="1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ht="13.2" hidden="1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ht="13.2" hidden="1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ht="13.2" hidden="1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ht="13.2" hidden="1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ht="13.2" hidden="1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ht="13.2" hidden="1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ht="13.2" hidden="1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ht="13.2" hidden="1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ht="13.2" hidden="1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ht="13.2" hidden="1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ht="13.2" hidden="1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ht="13.2" hidden="1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ht="13.2" hidden="1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ht="13.2" hidden="1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ht="13.2" hidden="1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ht="13.2" hidden="1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ht="13.2" hidden="1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ht="13.2" hidden="1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ht="13.2" hidden="1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ht="13.2" hidden="1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ht="13.2" hidden="1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ht="13.2" hidden="1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ht="13.2" hidden="1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ht="13.2" hidden="1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ht="13.2" hidden="1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ht="13.2" hidden="1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ht="13.2" hidden="1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ht="13.2" hidden="1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ht="13.2" hidden="1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ht="13.2" hidden="1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ht="13.2" hidden="1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ht="13.2" hidden="1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ht="13.2" hidden="1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ht="13.2" hidden="1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ht="13.2" hidden="1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ht="13.2" hidden="1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ht="13.2" hidden="1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ht="13.2" hidden="1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ht="13.2" hidden="1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ht="13.2" hidden="1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ht="13.2" hidden="1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ht="13.2" hidden="1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ht="13.2" hidden="1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ht="13.2" hidden="1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ht="13.2" hidden="1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ht="13.2" hidden="1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ht="13.2" hidden="1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ht="13.2" hidden="1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ht="13.2" hidden="1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ht="13.2" hidden="1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ht="13.2" hidden="1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ht="13.2" hidden="1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ht="13.2" hidden="1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ht="13.2" hidden="1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ht="13.2" hidden="1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ht="13.2" hidden="1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ht="13.2" hidden="1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ht="13.2" hidden="1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ht="13.2" hidden="1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ht="13.2" hidden="1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ht="13.2" hidden="1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ht="13.2" hidden="1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ht="13.2" hidden="1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ht="13.2" hidden="1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ht="13.2" hidden="1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ht="13.2" hidden="1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ht="13.2" hidden="1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ht="13.2" hidden="1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ht="13.2" hidden="1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ht="13.2" hidden="1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ht="13.2" hidden="1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ht="13.2" hidden="1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ht="13.2" hidden="1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ht="13.2" hidden="1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ht="13.2" hidden="1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ht="13.2" hidden="1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ht="13.2" hidden="1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ht="13.2" hidden="1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ht="13.2" hidden="1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ht="13.2" hidden="1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ht="13.2" hidden="1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ht="13.2" hidden="1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ht="13.2" hidden="1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ht="13.2" hidden="1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ht="13.2" hidden="1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ht="13.2" hidden="1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ht="13.2" hidden="1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ht="13.2" hidden="1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ht="13.2" hidden="1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ht="13.2" hidden="1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ht="13.2" hidden="1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ht="13.2" hidden="1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ht="13.2" hidden="1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ht="13.2" hidden="1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ht="13.2" hidden="1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ht="13.2" hidden="1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ht="13.2" hidden="1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ht="13.2" hidden="1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ht="13.2" hidden="1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ht="13.2" hidden="1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ht="13.2" hidden="1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ht="13.2" hidden="1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ht="13.2" hidden="1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ht="13.2" hidden="1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ht="13.2" hidden="1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ht="13.2" hidden="1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ht="13.2" hidden="1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ht="13.2" hidden="1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ht="13.2" hidden="1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ht="13.2" hidden="1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ht="13.2" hidden="1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ht="13.2" hidden="1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ht="13.2" hidden="1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ht="13.2" hidden="1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ht="13.2" hidden="1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ht="13.2" hidden="1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ht="13.2" hidden="1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ht="13.2" hidden="1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ht="13.2" hidden="1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ht="13.2" hidden="1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ht="13.2" hidden="1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ht="13.2" hidden="1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ht="13.2" hidden="1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ht="13.2" hidden="1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ht="13.2" hidden="1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ht="13.2" hidden="1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ht="13.2" hidden="1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ht="13.2" hidden="1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ht="13.2" hidden="1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ht="13.2" hidden="1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ht="13.2" hidden="1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ht="13.2" hidden="1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ht="13.2" hidden="1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ht="13.2" hidden="1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ht="13.2" hidden="1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ht="13.2" hidden="1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ht="13.2" hidden="1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ht="13.2" hidden="1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ht="13.2" hidden="1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ht="13.2" hidden="1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ht="13.2" hidden="1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ht="13.2" hidden="1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ht="13.2" hidden="1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ht="13.2" hidden="1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ht="13.2" hidden="1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ht="13.2" hidden="1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ht="13.2" hidden="1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ht="13.2" hidden="1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ht="13.2" hidden="1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ht="13.2" hidden="1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ht="13.2" hidden="1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ht="13.2" hidden="1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ht="13.2" hidden="1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ht="13.2" hidden="1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ht="13.2" hidden="1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ht="13.2" hidden="1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ht="13.2" hidden="1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ht="13.2" hidden="1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ht="13.2" hidden="1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ht="13.2" hidden="1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ht="13.2" hidden="1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ht="13.2" hidden="1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ht="13.2" hidden="1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ht="13.2" hidden="1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ht="13.2" hidden="1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ht="13.2" hidden="1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ht="13.2" hidden="1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ht="13.2" hidden="1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ht="13.2" hidden="1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ht="13.2" hidden="1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ht="13.2" hidden="1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ht="13.2" hidden="1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ht="13.2" hidden="1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ht="13.2" hidden="1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ht="13.2" hidden="1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ht="13.2" hidden="1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ht="13.2" hidden="1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ht="13.2" hidden="1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ht="13.2" hidden="1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ht="13.2" hidden="1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ht="13.2" hidden="1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ht="13.2" hidden="1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ht="13.2" hidden="1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ht="13.2" hidden="1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ht="13.2" hidden="1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ht="13.2" hidden="1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ht="13.2" hidden="1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ht="13.2" hidden="1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ht="13.2" hidden="1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ht="13.2" hidden="1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ht="13.2" hidden="1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ht="13.2" hidden="1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ht="13.2" hidden="1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ht="13.2" hidden="1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ht="13.2" hidden="1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ht="13.2" hidden="1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ht="13.2" hidden="1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ht="13.2" hidden="1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ht="13.2" hidden="1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ht="13.2" hidden="1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ht="13.2" hidden="1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ht="13.2" hidden="1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ht="13.2" hidden="1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ht="13.2" hidden="1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ht="13.2" hidden="1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ht="13.2" hidden="1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ht="13.2" hidden="1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ht="13.2" hidden="1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ht="13.2" hidden="1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ht="13.2" hidden="1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ht="13.2" hidden="1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ht="13.2" hidden="1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ht="13.2" hidden="1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ht="13.2" hidden="1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ht="13.2" hidden="1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ht="13.2" hidden="1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ht="13.2" hidden="1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ht="13.2" hidden="1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ht="13.2" hidden="1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ht="13.2" hidden="1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ht="13.2" hidden="1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ht="13.2" hidden="1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ht="13.2" hidden="1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ht="13.2" hidden="1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ht="13.2" hidden="1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ht="13.2" hidden="1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ht="13.2" hidden="1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ht="13.2" hidden="1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ht="13.2" hidden="1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ht="13.2" hidden="1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ht="13.2" hidden="1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ht="13.2" hidden="1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ht="13.2" hidden="1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ht="13.2" hidden="1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ht="13.2" hidden="1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ht="13.2" hidden="1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ht="13.2" hidden="1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ht="13.2" hidden="1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ht="13.2" hidden="1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ht="13.2" hidden="1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ht="13.2" hidden="1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ht="13.2" hidden="1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ht="13.2" hidden="1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ht="13.2" hidden="1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ht="13.2" hidden="1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ht="13.2" hidden="1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ht="13.2" hidden="1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ht="13.2" hidden="1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ht="13.2" hidden="1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ht="13.2" hidden="1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ht="13.2" hidden="1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ht="13.2" hidden="1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ht="13.2" hidden="1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ht="13.2" hidden="1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ht="13.2" hidden="1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ht="13.2" hidden="1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ht="13.2" hidden="1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ht="13.2" hidden="1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ht="13.2" hidden="1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ht="13.2" hidden="1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ht="13.2" hidden="1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ht="13.2" hidden="1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ht="13.2" hidden="1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ht="13.2" hidden="1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ht="13.2" hidden="1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ht="13.2" hidden="1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ht="13.2" hidden="1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ht="13.2" hidden="1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ht="13.2" hidden="1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ht="13.2" hidden="1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ht="13.2" hidden="1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ht="13.2" hidden="1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ht="13.2" hidden="1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ht="13.2" hidden="1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ht="13.2" hidden="1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ht="13.2" hidden="1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ht="13.2" hidden="1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ht="13.2" hidden="1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ht="13.2" hidden="1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ht="13.2" hidden="1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ht="13.2" hidden="1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ht="13.2" hidden="1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ht="13.2" hidden="1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ht="13.2" hidden="1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ht="13.2" hidden="1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ht="13.2" hidden="1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ht="13.2" hidden="1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ht="13.2" hidden="1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ht="13.2" hidden="1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ht="13.2" hidden="1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ht="13.2" hidden="1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ht="13.2" hidden="1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ht="13.2" hidden="1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ht="13.2" hidden="1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ht="13.2" hidden="1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ht="13.2" hidden="1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ht="13.2" hidden="1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ht="13.2" hidden="1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ht="13.2" hidden="1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ht="13.2" hidden="1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ht="13.2" hidden="1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ht="13.2" hidden="1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ht="13.2" hidden="1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ht="13.2" hidden="1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ht="13.2" hidden="1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ht="13.2" hidden="1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ht="13.2" hidden="1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ht="13.2" hidden="1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ht="13.2" hidden="1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ht="13.2" hidden="1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ht="13.2" hidden="1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ht="13.2" hidden="1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ht="13.2" hidden="1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ht="13.2" hidden="1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ht="13.2" hidden="1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ht="13.2" hidden="1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ht="13.2" hidden="1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ht="13.2" hidden="1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ht="13.2" hidden="1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ht="13.2" hidden="1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ht="13.2" hidden="1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ht="13.2" hidden="1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ht="13.2" hidden="1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ht="13.2" hidden="1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ht="13.2" hidden="1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ht="13.2" hidden="1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ht="13.2" hidden="1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ht="13.2" hidden="1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ht="13.2" hidden="1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ht="13.2" hidden="1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ht="13.2" hidden="1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ht="13.2" hidden="1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ht="13.2" hidden="1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ht="13.2" hidden="1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ht="13.2" hidden="1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ht="13.2" hidden="1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ht="13.2" hidden="1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ht="13.2" hidden="1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ht="13.2" hidden="1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ht="13.2" hidden="1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ht="13.2" hidden="1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ht="13.2" hidden="1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ht="13.2" hidden="1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ht="13.2" hidden="1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ht="13.2" hidden="1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ht="13.2" hidden="1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ht="13.2" hidden="1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ht="13.2" hidden="1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ht="13.2" hidden="1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ht="13.2" hidden="1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ht="13.2" hidden="1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ht="13.2" hidden="1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ht="13.2" hidden="1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ht="13.2" hidden="1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ht="13.2" hidden="1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ht="13.2" hidden="1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ht="13.2" hidden="1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ht="13.2" hidden="1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ht="13.2" hidden="1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ht="13.2" hidden="1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ht="13.2" hidden="1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ht="13.2" hidden="1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ht="13.2" hidden="1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ht="13.2" hidden="1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ht="13.2" hidden="1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ht="13.2" hidden="1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ht="13.2" hidden="1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ht="13.2" hidden="1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ht="13.2" hidden="1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ht="13.2" hidden="1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ht="13.2" hidden="1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ht="13.2" hidden="1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ht="13.2" hidden="1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ht="13.2" hidden="1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ht="13.2" hidden="1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ht="13.2" hidden="1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ht="13.2" hidden="1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ht="13.2" hidden="1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ht="13.2" hidden="1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ht="13.2" hidden="1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ht="13.2" hidden="1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ht="13.2" hidden="1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ht="13.2" hidden="1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ht="13.2" hidden="1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ht="13.2" hidden="1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ht="13.2" hidden="1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ht="13.2" hidden="1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ht="13.2" hidden="1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ht="13.2" hidden="1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ht="13.2" hidden="1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ht="13.2" hidden="1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ht="13.2" hidden="1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ht="13.2" hidden="1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ht="13.2" hidden="1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ht="13.2" hidden="1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ht="13.2" hidden="1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ht="13.2" hidden="1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ht="13.2" hidden="1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ht="13.2" hidden="1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ht="13.2" hidden="1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ht="13.2" hidden="1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ht="13.2" hidden="1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ht="13.2" hidden="1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ht="13.2" hidden="1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ht="13.2" hidden="1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ht="13.2" hidden="1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ht="13.2" hidden="1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ht="13.2" hidden="1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ht="13.2" hidden="1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ht="13.2" hidden="1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ht="13.2" hidden="1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ht="13.2" hidden="1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ht="13.2" hidden="1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ht="13.2" hidden="1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ht="13.2" hidden="1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ht="13.2" hidden="1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ht="13.2" hidden="1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ht="13.2" hidden="1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ht="13.2" hidden="1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ht="13.2" hidden="1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ht="13.2" hidden="1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ht="13.2" hidden="1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ht="13.2" hidden="1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ht="13.2" hidden="1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ht="13.2" hidden="1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ht="13.2" hidden="1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ht="13.2" hidden="1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ht="13.2" hidden="1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ht="13.2" hidden="1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ht="13.2" hidden="1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ht="13.2" hidden="1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ht="13.2" hidden="1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ht="13.2" hidden="1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ht="13.2" hidden="1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ht="13.2" hidden="1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ht="13.2" hidden="1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ht="13.2" hidden="1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ht="13.2" hidden="1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ht="13.2" hidden="1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ht="13.2" hidden="1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ht="13.2" hidden="1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ht="13.2" hidden="1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ht="13.2" hidden="1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ht="13.2" hidden="1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ht="13.2" hidden="1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ht="13.2" hidden="1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ht="13.2" hidden="1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ht="13.2" hidden="1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ht="13.2" hidden="1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ht="13.2" hidden="1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ht="13.2" hidden="1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ht="13.2" hidden="1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ht="13.2" hidden="1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ht="13.2" hidden="1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ht="13.2" hidden="1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ht="13.2" hidden="1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ht="13.2" hidden="1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ht="13.2" hidden="1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ht="13.2" hidden="1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ht="13.2" hidden="1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ht="13.2" hidden="1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ht="13.2" hidden="1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ht="13.2" hidden="1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ht="13.2" hidden="1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ht="13.2" hidden="1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ht="13.2" hidden="1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ht="13.2" hidden="1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ht="13.2" hidden="1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ht="13.2" hidden="1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ht="13.2" hidden="1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ht="13.2" hidden="1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ht="13.2" hidden="1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ht="13.2" hidden="1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ht="13.2" hidden="1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ht="13.2" hidden="1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ht="13.2" hidden="1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ht="13.2" hidden="1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ht="13.2" hidden="1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ht="13.2" hidden="1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ht="13.2" hidden="1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ht="13.2" hidden="1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ht="13.2" hidden="1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ht="13.2" hidden="1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ht="13.2" hidden="1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ht="13.2" hidden="1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ht="13.2" hidden="1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ht="13.2" hidden="1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ht="13.2" hidden="1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ht="13.2" hidden="1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ht="13.2" hidden="1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ht="13.2" hidden="1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ht="13.2" hidden="1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ht="13.2" hidden="1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ht="13.2" hidden="1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ht="13.2" hidden="1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ht="13.2" hidden="1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ht="13.2" hidden="1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ht="13.2" hidden="1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ht="13.2" hidden="1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ht="13.2" hidden="1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ht="13.2" hidden="1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ht="13.2" hidden="1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ht="13.2" hidden="1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ht="13.2" hidden="1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ht="13.2" hidden="1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ht="13.2" hidden="1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ht="13.2" hidden="1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ht="13.2" hidden="1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ht="13.2" hidden="1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ht="13.2" hidden="1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ht="13.2" hidden="1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ht="13.2" hidden="1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ht="13.2" hidden="1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ht="13.2" hidden="1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ht="13.2" hidden="1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ht="13.2" hidden="1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ht="13.2" hidden="1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ht="13.2" hidden="1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ht="13.2" hidden="1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ht="13.2" hidden="1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ht="13.2" hidden="1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ht="13.2" hidden="1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ht="13.2" hidden="1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ht="13.2" hidden="1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ht="13.2" hidden="1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ht="13.2" hidden="1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ht="13.2" hidden="1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ht="13.2" hidden="1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ht="13.2" hidden="1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ht="13.2" hidden="1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ht="13.2" hidden="1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ht="13.2" hidden="1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ht="13.2" hidden="1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ht="13.2" hidden="1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ht="13.2" hidden="1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ht="13.2" hidden="1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ht="13.2" hidden="1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ht="13.2" hidden="1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ht="13.2" hidden="1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ht="13.2" hidden="1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ht="13.2" hidden="1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ht="13.2" hidden="1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ht="13.2" hidden="1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ht="13.2" hidden="1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ht="13.2" hidden="1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ht="13.2" hidden="1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ht="13.2" hidden="1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ht="13.2" hidden="1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ht="13.2" hidden="1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ht="13.2" hidden="1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ht="13.2" hidden="1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ht="13.2" hidden="1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ht="13.2" hidden="1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ht="13.2" hidden="1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ht="13.2" hidden="1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ht="13.2" hidden="1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ht="13.2" hidden="1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ht="13.2" hidden="1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ht="13.2" hidden="1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ht="13.2" hidden="1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ht="13.2" hidden="1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ht="13.2" hidden="1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ht="13.2" hidden="1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ht="13.2" hidden="1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ht="13.2" hidden="1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ht="13.2" hidden="1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ht="13.2" hidden="1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ht="13.2" hidden="1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ht="13.2" hidden="1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ht="13.2" hidden="1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ht="13.2" hidden="1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ht="13.2" hidden="1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ht="13.2" hidden="1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ht="13.2" hidden="1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ht="13.2" hidden="1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ht="13.2" hidden="1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ht="13.2" hidden="1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ht="13.2" hidden="1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ht="13.2" hidden="1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ht="13.2" hidden="1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ht="13.2" hidden="1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ht="13.2" hidden="1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ht="13.2" hidden="1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ht="13.2" hidden="1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ht="13.2" hidden="1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ht="13.2" hidden="1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ht="13.2" hidden="1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ht="13.2" hidden="1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ht="13.2" hidden="1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ht="13.2" hidden="1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ht="13.2" hidden="1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ht="13.2" hidden="1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ht="13.2" hidden="1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ht="13.2" hidden="1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ht="13.2" hidden="1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ht="13.2" hidden="1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ht="13.2" hidden="1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ht="13.2" hidden="1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ht="13.2" hidden="1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ht="13.2" hidden="1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ht="13.2" hidden="1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ht="13.2" hidden="1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ht="13.2" hidden="1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ht="13.2" hidden="1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ht="13.2" hidden="1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ht="13.2" hidden="1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ht="13.2" hidden="1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ht="13.2" hidden="1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ht="13.2" hidden="1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ht="13.2" hidden="1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ht="13.2" hidden="1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ht="13.2" hidden="1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ht="13.2" hidden="1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ht="13.2" hidden="1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ht="13.2" hidden="1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ht="13.2" hidden="1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ht="13.2" hidden="1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ht="13.2" hidden="1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ht="13.2" hidden="1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ht="13.2" hidden="1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ht="13.2" hidden="1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ht="13.2" hidden="1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ht="13.2" hidden="1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ht="13.2" hidden="1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ht="13.2" hidden="1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ht="13.2" hidden="1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ht="13.2" hidden="1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ht="13.2" hidden="1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ht="13.2" hidden="1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ht="13.2" hidden="1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ht="13.2" hidden="1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ht="13.2" hidden="1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ht="13.2" hidden="1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ht="13.2" hidden="1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ht="13.2" hidden="1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ht="13.2" hidden="1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ht="13.2" hidden="1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ht="13.2" hidden="1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</sheetData>
  <autoFilter ref="E1:E993" xr:uid="{00000000-0009-0000-0000-00000B000000}">
    <filterColumn colId="0">
      <filters>
        <filter val="Gasolina"/>
      </filters>
    </filterColumn>
  </autoFilter>
  <conditionalFormatting sqref="G2:G77">
    <cfRule type="expression" dxfId="9" priority="1">
      <formula>G2&lt;0</formula>
    </cfRule>
    <cfRule type="expression" dxfId="8" priority="2">
      <formula>G2&gt;0</formula>
    </cfRule>
  </conditionalFormatting>
  <dataValidations count="1">
    <dataValidation type="list" allowBlank="1" showErrorMessage="1" sqref="C2:C993" xr:uid="{00000000-0002-0000-0B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B00-000000000000}">
          <x14:formula1>
            <xm:f>CATEGORIASCONFIGS!$E$2:$E$35</xm:f>
          </x14:formula1>
          <xm:sqref>E2:E50 E52:E76</xm:sqref>
        </x14:dataValidation>
        <x14:dataValidation type="list" allowBlank="1" showErrorMessage="1" xr:uid="{00000000-0002-0000-0B00-000002000000}">
          <x14:formula1>
            <xm:f>CATEGORIASCONFIGS!$C$2:$C$8</xm:f>
          </x14:formula1>
          <xm:sqref>D2:D50 D52:D76</xm:sqref>
        </x14:dataValidation>
        <x14:dataValidation type="list" allowBlank="1" showErrorMessage="1" xr:uid="{00000000-0002-0000-0B00-000003000000}">
          <x14:formula1>
            <xm:f>CATEGORIASCONFIGS!$A$2:$A$4</xm:f>
          </x14:formula1>
          <xm:sqref>B2:B50 B52:B76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.6640625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8" max="8" width="21.6640625" customWidth="1"/>
    <col min="9" max="9" width="17.33203125" customWidth="1"/>
    <col min="10" max="10" width="8.21875" customWidth="1"/>
    <col min="11" max="12" width="19.77734375" customWidth="1"/>
    <col min="13" max="13" width="10.109375" customWidth="1"/>
    <col min="15" max="15" width="11.44140625" customWidth="1"/>
    <col min="16" max="16" width="13.33203125" customWidth="1"/>
    <col min="17" max="17" width="10.88671875" customWidth="1"/>
    <col min="18" max="18" width="10.109375" customWidth="1"/>
    <col min="19" max="19" width="10.6640625" customWidth="1"/>
  </cols>
  <sheetData>
    <row r="1" spans="1:39" x14ac:dyDescent="0.25">
      <c r="A1" s="14" t="s">
        <v>156</v>
      </c>
      <c r="B1" s="14" t="s">
        <v>9</v>
      </c>
      <c r="C1" s="14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5" t="s">
        <v>875</v>
      </c>
      <c r="J1" s="5" t="s">
        <v>6</v>
      </c>
      <c r="K1" s="5"/>
      <c r="L1" s="14" t="s">
        <v>160</v>
      </c>
      <c r="M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46266.772889178239</v>
      </c>
      <c r="B2" s="17" t="s">
        <v>165</v>
      </c>
      <c r="C2" s="17"/>
      <c r="D2" s="17" t="s">
        <v>737</v>
      </c>
      <c r="E2" s="17" t="s">
        <v>141</v>
      </c>
      <c r="F2" s="25">
        <v>44.91</v>
      </c>
      <c r="G2" s="25">
        <f t="shared" ref="G2:G36" si="0">IF(B2="Saída", -ABS(F2), ABS(F2))</f>
        <v>-44.91</v>
      </c>
      <c r="H2" s="17" t="s">
        <v>876</v>
      </c>
      <c r="I2" s="17"/>
      <c r="J2" s="17"/>
      <c r="K2" s="17"/>
      <c r="L2" s="17" t="s">
        <v>162</v>
      </c>
      <c r="M2" s="25">
        <f>SUMIF(B:B,"Entrada",G:G)</f>
        <v>7076.8</v>
      </c>
      <c r="AL2" t="s">
        <v>1005</v>
      </c>
      <c r="AM2">
        <f>SUMIFS($F:$F,$X:$X,"Entrada",$Y:$Y,"Receita")+SUMIFS($F:$F,$B:$B,"Entrada",$X:$X,"")</f>
        <v>7076.8</v>
      </c>
    </row>
    <row r="3" spans="1:39" x14ac:dyDescent="0.25">
      <c r="A3" s="11">
        <v>46266.787438796295</v>
      </c>
      <c r="B3" s="17" t="s">
        <v>165</v>
      </c>
      <c r="C3" s="17"/>
      <c r="D3" s="17" t="s">
        <v>113</v>
      </c>
      <c r="E3" s="17" t="s">
        <v>124</v>
      </c>
      <c r="F3" s="25">
        <v>126.66</v>
      </c>
      <c r="G3" s="25">
        <f t="shared" si="0"/>
        <v>-126.66</v>
      </c>
      <c r="H3" s="17" t="s">
        <v>167</v>
      </c>
      <c r="I3" s="17"/>
      <c r="J3" s="17"/>
      <c r="K3" s="17"/>
      <c r="L3" s="17" t="s">
        <v>164</v>
      </c>
      <c r="M3" s="25">
        <f>SUMIF(B:B,"Saída",G:G)</f>
        <v>-7784.0000000000009</v>
      </c>
      <c r="AL3" t="s">
        <v>1006</v>
      </c>
      <c r="AM3">
        <f>SUMIFS($F:$F,$X:$X,"Saída",$Y:$Y,"Despesa")+SUMIFS($F:$F,$B:$B,"Saída",$X:$X,"",$D:$D,"&lt;&gt;Investimentos",$D:$D,"&lt;&gt;Sonhos")</f>
        <v>7534.0000000000009</v>
      </c>
    </row>
    <row r="4" spans="1:39" x14ac:dyDescent="0.25">
      <c r="A4" s="11">
        <v>46266.787438796295</v>
      </c>
      <c r="B4" s="17" t="s">
        <v>116</v>
      </c>
      <c r="C4" s="17"/>
      <c r="D4" s="17" t="s">
        <v>117</v>
      </c>
      <c r="E4" s="17" t="s">
        <v>147</v>
      </c>
      <c r="F4" s="25">
        <v>52.11</v>
      </c>
      <c r="G4" s="25">
        <f t="shared" si="0"/>
        <v>-52.11</v>
      </c>
      <c r="H4" s="17" t="s">
        <v>877</v>
      </c>
      <c r="I4" s="17"/>
      <c r="J4" s="17"/>
      <c r="K4" s="17"/>
      <c r="L4" s="17" t="s">
        <v>224</v>
      </c>
      <c r="M4" s="25">
        <f>M2 + M3</f>
        <v>-707.20000000000073</v>
      </c>
      <c r="AL4" t="s">
        <v>1007</v>
      </c>
      <c r="AM4">
        <f>SUMIFS($F:$F,$X:$X,"Saída",$Y:$Y,"Despesa",$AB:$AB,"Essencial")+SUMIFS($F:$F,$B:$B,"Saída",$X:$X,"",$D:$D,"Essencial")</f>
        <v>5584.3100000000013</v>
      </c>
    </row>
    <row r="5" spans="1:39" x14ac:dyDescent="0.25">
      <c r="A5" s="11">
        <v>46266.787438796295</v>
      </c>
      <c r="B5" s="17" t="s">
        <v>116</v>
      </c>
      <c r="C5" s="17"/>
      <c r="D5" s="17" t="s">
        <v>113</v>
      </c>
      <c r="E5" s="17" t="s">
        <v>150</v>
      </c>
      <c r="F5" s="25">
        <v>52</v>
      </c>
      <c r="G5" s="25">
        <f t="shared" si="0"/>
        <v>-52</v>
      </c>
      <c r="H5" s="17" t="s">
        <v>878</v>
      </c>
      <c r="I5" s="17"/>
      <c r="J5" s="17"/>
      <c r="AL5" t="s">
        <v>1008</v>
      </c>
      <c r="AM5">
        <f>SUMIFS($F:$F,$X:$X,"Saída",$Y:$Y,"Despesa",$AB:$AB,"Não essencial")+SUMIFS($F:$F,$B:$B,"Saída",$X:$X,"",$D:$D,"Não essencial")</f>
        <v>1949.6899999999998</v>
      </c>
    </row>
    <row r="6" spans="1:39" x14ac:dyDescent="0.25">
      <c r="A6" s="11">
        <v>46266.787438796295</v>
      </c>
      <c r="B6" s="17" t="s">
        <v>116</v>
      </c>
      <c r="C6" s="17"/>
      <c r="D6" s="17" t="s">
        <v>113</v>
      </c>
      <c r="E6" s="17" t="s">
        <v>137</v>
      </c>
      <c r="F6" s="25">
        <v>50</v>
      </c>
      <c r="G6" s="25">
        <f t="shared" si="0"/>
        <v>-50</v>
      </c>
      <c r="H6" s="17"/>
      <c r="I6" s="17"/>
      <c r="J6" s="17"/>
      <c r="AL6" t="s">
        <v>120</v>
      </c>
      <c r="AM6">
        <f>SUMIFS($F:$F,$X:$X,"Saída",$Y:$Y,"Investimento")+SUMIFS($F:$F,$B:$B,"Saída",$X:$X,"",$D:$D,"Investimentos")</f>
        <v>250</v>
      </c>
    </row>
    <row r="7" spans="1:39" x14ac:dyDescent="0.25">
      <c r="A7" s="11">
        <v>46266.787438796295</v>
      </c>
      <c r="B7" s="17" t="s">
        <v>116</v>
      </c>
      <c r="C7" s="17"/>
      <c r="D7" s="17" t="s">
        <v>117</v>
      </c>
      <c r="E7" s="17" t="s">
        <v>139</v>
      </c>
      <c r="F7" s="25">
        <v>7</v>
      </c>
      <c r="G7" s="25">
        <f t="shared" si="0"/>
        <v>-7</v>
      </c>
      <c r="H7" s="17" t="s">
        <v>879</v>
      </c>
      <c r="I7" s="17"/>
      <c r="J7" s="14"/>
      <c r="K7" s="14"/>
      <c r="L7" s="14" t="s">
        <v>172</v>
      </c>
      <c r="M7" s="14" t="s">
        <v>173</v>
      </c>
      <c r="O7" s="14" t="s">
        <v>172</v>
      </c>
      <c r="P7" s="14" t="s">
        <v>174</v>
      </c>
      <c r="Q7" s="14" t="s">
        <v>175</v>
      </c>
      <c r="R7" s="14" t="s">
        <v>173</v>
      </c>
      <c r="S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11">
        <v>46266.787438796295</v>
      </c>
      <c r="B8" s="17" t="s">
        <v>116</v>
      </c>
      <c r="C8" s="17"/>
      <c r="D8" s="17" t="s">
        <v>117</v>
      </c>
      <c r="E8" s="17" t="s">
        <v>139</v>
      </c>
      <c r="F8" s="25">
        <v>53.96</v>
      </c>
      <c r="G8" s="25">
        <f t="shared" si="0"/>
        <v>-53.96</v>
      </c>
      <c r="H8" s="17" t="s">
        <v>880</v>
      </c>
      <c r="I8" s="17"/>
      <c r="J8" s="17"/>
      <c r="K8" s="17"/>
      <c r="L8" s="17" t="s">
        <v>113</v>
      </c>
      <c r="M8" s="25">
        <f t="shared" ref="M8:M11" si="1">SUMIF($D:$D, L8, $F:$F)</f>
        <v>5584.3100000000013</v>
      </c>
      <c r="O8" s="17" t="s">
        <v>113</v>
      </c>
      <c r="P8" s="25">
        <f>M2*Q8</f>
        <v>3184.56</v>
      </c>
      <c r="Q8" s="31">
        <v>0.45</v>
      </c>
      <c r="R8" s="25">
        <f t="shared" ref="R8:R11" si="2">ABS(SUMIF(D:D, O8, F:F))</f>
        <v>5584.3100000000013</v>
      </c>
      <c r="S8" s="25">
        <f t="shared" ref="S8:S11" si="3">R8 - P8</f>
        <v>2399.7500000000014</v>
      </c>
      <c r="AL8" t="s">
        <v>1010</v>
      </c>
      <c r="AM8">
        <f>SUMIFS($F:$F,$X:$X,"Entrada")-SUMIFS($F:$F,$X:$X,"Saída")+SUMIFS($F:$F,$B:$B,"Entrada",$X:$X,"")-SUMIFS($F:$F,$B:$B,"Saída",$X:$X,"")</f>
        <v>-707.20000000000073</v>
      </c>
    </row>
    <row r="9" spans="1:39" x14ac:dyDescent="0.25">
      <c r="A9" s="11">
        <v>46266.787438796295</v>
      </c>
      <c r="B9" s="17" t="s">
        <v>116</v>
      </c>
      <c r="C9" s="17"/>
      <c r="D9" s="17" t="s">
        <v>117</v>
      </c>
      <c r="E9" s="17" t="s">
        <v>139</v>
      </c>
      <c r="F9" s="25">
        <v>9</v>
      </c>
      <c r="G9" s="25">
        <f t="shared" si="0"/>
        <v>-9</v>
      </c>
      <c r="H9" s="17" t="s">
        <v>881</v>
      </c>
      <c r="I9" s="17"/>
      <c r="J9" s="17"/>
      <c r="K9" s="17"/>
      <c r="L9" s="17" t="s">
        <v>117</v>
      </c>
      <c r="M9" s="25">
        <f t="shared" si="1"/>
        <v>1949.6899999999998</v>
      </c>
      <c r="O9" s="17" t="s">
        <v>117</v>
      </c>
      <c r="P9" s="25">
        <f>M2*Q9</f>
        <v>1415.3600000000001</v>
      </c>
      <c r="Q9" s="31">
        <v>0.2</v>
      </c>
      <c r="R9" s="25">
        <f t="shared" si="2"/>
        <v>1949.6899999999998</v>
      </c>
      <c r="S9" s="25">
        <f t="shared" si="3"/>
        <v>534.3299999999997</v>
      </c>
    </row>
    <row r="10" spans="1:39" x14ac:dyDescent="0.25">
      <c r="A10" s="11">
        <v>46266.787438796295</v>
      </c>
      <c r="B10" s="17" t="s">
        <v>116</v>
      </c>
      <c r="C10" s="17"/>
      <c r="D10" s="17" t="s">
        <v>113</v>
      </c>
      <c r="E10" s="17" t="s">
        <v>137</v>
      </c>
      <c r="F10" s="25">
        <v>157.96</v>
      </c>
      <c r="G10" s="25">
        <f t="shared" si="0"/>
        <v>-157.96</v>
      </c>
      <c r="H10" s="17"/>
      <c r="I10" s="17"/>
      <c r="J10" s="17"/>
      <c r="K10" s="17"/>
      <c r="L10" s="17" t="s">
        <v>120</v>
      </c>
      <c r="M10" s="25">
        <f t="shared" si="1"/>
        <v>250</v>
      </c>
      <c r="O10" s="17" t="s">
        <v>120</v>
      </c>
      <c r="P10" s="25">
        <f>M2*Q10</f>
        <v>2123.04</v>
      </c>
      <c r="Q10" s="31">
        <v>0.3</v>
      </c>
      <c r="R10" s="25">
        <f t="shared" si="2"/>
        <v>250</v>
      </c>
      <c r="S10" s="25">
        <f t="shared" si="3"/>
        <v>-1873.04</v>
      </c>
    </row>
    <row r="11" spans="1:39" x14ac:dyDescent="0.25">
      <c r="A11" s="11">
        <v>46266.509274837968</v>
      </c>
      <c r="B11" s="17" t="s">
        <v>165</v>
      </c>
      <c r="C11" s="17" t="s">
        <v>166</v>
      </c>
      <c r="D11" s="17" t="s">
        <v>737</v>
      </c>
      <c r="E11" s="17"/>
      <c r="F11" s="25"/>
      <c r="G11" s="25">
        <f t="shared" si="0"/>
        <v>0</v>
      </c>
      <c r="H11" s="17"/>
      <c r="I11" s="17"/>
      <c r="J11" s="17"/>
      <c r="K11" s="17"/>
      <c r="L11" s="17" t="s">
        <v>123</v>
      </c>
      <c r="M11" s="25">
        <f t="shared" si="1"/>
        <v>0</v>
      </c>
      <c r="O11" s="17" t="s">
        <v>123</v>
      </c>
      <c r="P11" s="25">
        <f>M2*Q11</f>
        <v>353.84000000000003</v>
      </c>
      <c r="Q11" s="31">
        <v>0.05</v>
      </c>
      <c r="R11" s="25">
        <f t="shared" si="2"/>
        <v>0</v>
      </c>
      <c r="S11" s="25">
        <f t="shared" si="3"/>
        <v>-353.84000000000003</v>
      </c>
    </row>
    <row r="12" spans="1:39" x14ac:dyDescent="0.25">
      <c r="A12" s="11">
        <v>46266.5234112037</v>
      </c>
      <c r="B12" s="17" t="s">
        <v>776</v>
      </c>
      <c r="C12" s="17" t="s">
        <v>166</v>
      </c>
      <c r="D12" s="17" t="s">
        <v>126</v>
      </c>
      <c r="E12" s="17"/>
      <c r="F12" s="25">
        <v>7076.8</v>
      </c>
      <c r="G12" s="25">
        <f t="shared" si="0"/>
        <v>7076.8</v>
      </c>
      <c r="H12" s="17" t="s">
        <v>882</v>
      </c>
      <c r="I12" s="17"/>
      <c r="J12" s="17"/>
    </row>
    <row r="13" spans="1:39" x14ac:dyDescent="0.25">
      <c r="A13" s="11">
        <v>46266.920668819439</v>
      </c>
      <c r="B13" s="17" t="s">
        <v>165</v>
      </c>
      <c r="C13" s="17" t="s">
        <v>166</v>
      </c>
      <c r="D13" s="17" t="s">
        <v>737</v>
      </c>
      <c r="E13" s="17"/>
      <c r="F13" s="25">
        <v>199</v>
      </c>
      <c r="G13" s="25">
        <f t="shared" si="0"/>
        <v>-199</v>
      </c>
      <c r="H13" s="17" t="s">
        <v>883</v>
      </c>
      <c r="I13" s="17"/>
      <c r="J13" s="17"/>
    </row>
    <row r="14" spans="1:39" x14ac:dyDescent="0.25">
      <c r="A14" s="11">
        <v>46266.920668819439</v>
      </c>
      <c r="B14" s="17" t="s">
        <v>165</v>
      </c>
      <c r="C14" s="17" t="s">
        <v>166</v>
      </c>
      <c r="D14" s="17" t="s">
        <v>737</v>
      </c>
      <c r="E14" s="17"/>
      <c r="F14" s="25">
        <v>15</v>
      </c>
      <c r="G14" s="25">
        <f t="shared" si="0"/>
        <v>-15</v>
      </c>
      <c r="H14" s="17" t="s">
        <v>884</v>
      </c>
      <c r="I14" s="17"/>
      <c r="J14" s="17"/>
    </row>
    <row r="15" spans="1:39" x14ac:dyDescent="0.25">
      <c r="A15" s="11">
        <v>46266.920668819439</v>
      </c>
      <c r="B15" s="17" t="s">
        <v>165</v>
      </c>
      <c r="C15" s="17" t="s">
        <v>166</v>
      </c>
      <c r="D15" s="17" t="s">
        <v>737</v>
      </c>
      <c r="E15" s="17"/>
      <c r="F15" s="25">
        <v>17</v>
      </c>
      <c r="G15" s="25">
        <f t="shared" si="0"/>
        <v>-17</v>
      </c>
      <c r="H15" s="17" t="s">
        <v>885</v>
      </c>
      <c r="I15" s="17"/>
      <c r="J15" s="17"/>
    </row>
    <row r="16" spans="1:39" x14ac:dyDescent="0.25">
      <c r="A16" s="11">
        <v>46266.920668819439</v>
      </c>
      <c r="B16" s="17" t="s">
        <v>165</v>
      </c>
      <c r="C16" s="17"/>
      <c r="D16" s="17" t="s">
        <v>113</v>
      </c>
      <c r="E16" s="17" t="s">
        <v>129</v>
      </c>
      <c r="F16" s="25">
        <v>24.9</v>
      </c>
      <c r="G16" s="25">
        <f t="shared" si="0"/>
        <v>-24.9</v>
      </c>
      <c r="H16" s="17" t="s">
        <v>753</v>
      </c>
      <c r="I16" s="17"/>
      <c r="J16" s="17"/>
    </row>
    <row r="17" spans="1:10" x14ac:dyDescent="0.25">
      <c r="A17" s="11">
        <v>46266.920668819439</v>
      </c>
      <c r="B17" s="17" t="s">
        <v>165</v>
      </c>
      <c r="C17" s="17"/>
      <c r="D17" s="17" t="s">
        <v>113</v>
      </c>
      <c r="E17" s="17" t="s">
        <v>147</v>
      </c>
      <c r="F17" s="25">
        <v>399.9</v>
      </c>
      <c r="G17" s="25">
        <f t="shared" si="0"/>
        <v>-399.9</v>
      </c>
      <c r="H17" s="17" t="s">
        <v>755</v>
      </c>
      <c r="I17" s="17"/>
      <c r="J17" s="17"/>
    </row>
    <row r="18" spans="1:10" x14ac:dyDescent="0.25">
      <c r="A18" s="11">
        <v>46266.920668819439</v>
      </c>
      <c r="B18" s="17" t="s">
        <v>165</v>
      </c>
      <c r="C18" s="17"/>
      <c r="D18" s="17" t="s">
        <v>113</v>
      </c>
      <c r="E18" s="17" t="s">
        <v>124</v>
      </c>
      <c r="F18" s="25">
        <v>294.32</v>
      </c>
      <c r="G18" s="25">
        <f t="shared" si="0"/>
        <v>-294.32</v>
      </c>
      <c r="H18" s="17" t="s">
        <v>757</v>
      </c>
      <c r="I18" s="17"/>
      <c r="J18" s="17"/>
    </row>
    <row r="19" spans="1:10" x14ac:dyDescent="0.25">
      <c r="A19" s="11">
        <v>46266.920668819439</v>
      </c>
      <c r="B19" s="17" t="s">
        <v>165</v>
      </c>
      <c r="C19" s="17"/>
      <c r="D19" s="17" t="s">
        <v>113</v>
      </c>
      <c r="E19" s="17" t="s">
        <v>124</v>
      </c>
      <c r="F19" s="25">
        <v>1500</v>
      </c>
      <c r="G19" s="25">
        <f t="shared" si="0"/>
        <v>-1500</v>
      </c>
      <c r="H19" s="17" t="s">
        <v>759</v>
      </c>
      <c r="I19" s="17"/>
      <c r="J19" s="17"/>
    </row>
    <row r="20" spans="1:10" x14ac:dyDescent="0.25">
      <c r="A20" s="11">
        <v>46266.920668819439</v>
      </c>
      <c r="B20" s="17" t="s">
        <v>165</v>
      </c>
      <c r="C20" s="17"/>
      <c r="D20" s="17" t="s">
        <v>113</v>
      </c>
      <c r="E20" s="17" t="s">
        <v>147</v>
      </c>
      <c r="F20" s="25">
        <v>707.68</v>
      </c>
      <c r="G20" s="25">
        <f t="shared" si="0"/>
        <v>-707.68</v>
      </c>
      <c r="H20" s="17" t="s">
        <v>761</v>
      </c>
      <c r="I20" s="17"/>
      <c r="J20" s="17"/>
    </row>
    <row r="21" spans="1:10" x14ac:dyDescent="0.25">
      <c r="A21" s="11">
        <v>46266.920668819439</v>
      </c>
      <c r="B21" s="17" t="s">
        <v>165</v>
      </c>
      <c r="C21" s="17"/>
      <c r="D21" s="17" t="s">
        <v>113</v>
      </c>
      <c r="E21" s="17" t="s">
        <v>133</v>
      </c>
      <c r="F21" s="25">
        <v>1000</v>
      </c>
      <c r="G21" s="25">
        <f t="shared" si="0"/>
        <v>-1000</v>
      </c>
      <c r="H21" s="17" t="s">
        <v>763</v>
      </c>
      <c r="I21" s="17"/>
      <c r="J21" s="17"/>
    </row>
    <row r="22" spans="1:10" x14ac:dyDescent="0.25">
      <c r="A22" s="11">
        <v>46266.920668819439</v>
      </c>
      <c r="B22" s="17" t="s">
        <v>165</v>
      </c>
      <c r="C22" s="17"/>
      <c r="D22" s="17" t="s">
        <v>120</v>
      </c>
      <c r="E22" s="17" t="s">
        <v>127</v>
      </c>
      <c r="F22" s="25">
        <v>250</v>
      </c>
      <c r="G22" s="25">
        <f t="shared" si="0"/>
        <v>-250</v>
      </c>
      <c r="H22" s="17"/>
      <c r="I22" s="17"/>
      <c r="J22" s="17"/>
    </row>
    <row r="23" spans="1:10" x14ac:dyDescent="0.25">
      <c r="A23" s="11">
        <v>46266.920668819439</v>
      </c>
      <c r="B23" s="17" t="s">
        <v>165</v>
      </c>
      <c r="C23" s="17"/>
      <c r="D23" s="17" t="s">
        <v>113</v>
      </c>
      <c r="E23" s="17" t="s">
        <v>147</v>
      </c>
      <c r="F23" s="25">
        <v>60</v>
      </c>
      <c r="G23" s="25">
        <f t="shared" si="0"/>
        <v>-60</v>
      </c>
      <c r="H23" s="17" t="s">
        <v>404</v>
      </c>
      <c r="I23" s="17"/>
      <c r="J23" s="17"/>
    </row>
    <row r="24" spans="1:10" x14ac:dyDescent="0.25">
      <c r="A24" s="11">
        <v>46267.765884374996</v>
      </c>
      <c r="B24" s="17" t="s">
        <v>165</v>
      </c>
      <c r="C24" s="17" t="s">
        <v>166</v>
      </c>
      <c r="D24" s="17" t="s">
        <v>737</v>
      </c>
      <c r="E24" s="17" t="s">
        <v>139</v>
      </c>
      <c r="F24" s="25">
        <v>25</v>
      </c>
      <c r="G24" s="25">
        <f t="shared" si="0"/>
        <v>-25</v>
      </c>
      <c r="H24" s="17" t="s">
        <v>886</v>
      </c>
      <c r="I24" s="17"/>
      <c r="J24" s="17"/>
    </row>
    <row r="25" spans="1:10" x14ac:dyDescent="0.25">
      <c r="A25" s="11">
        <v>46269.236117766202</v>
      </c>
      <c r="B25" s="17" t="s">
        <v>165</v>
      </c>
      <c r="C25" s="17" t="s">
        <v>166</v>
      </c>
      <c r="D25" s="17" t="s">
        <v>737</v>
      </c>
      <c r="E25" s="17" t="s">
        <v>143</v>
      </c>
      <c r="F25" s="25">
        <v>9.5</v>
      </c>
      <c r="G25" s="25">
        <f t="shared" si="0"/>
        <v>-9.5</v>
      </c>
      <c r="H25" s="17" t="s">
        <v>887</v>
      </c>
      <c r="I25" s="17"/>
      <c r="J25" s="17"/>
    </row>
    <row r="26" spans="1:10" x14ac:dyDescent="0.25">
      <c r="A26" s="11">
        <v>46270.440652118057</v>
      </c>
      <c r="B26" s="17" t="s">
        <v>165</v>
      </c>
      <c r="C26" s="17" t="s">
        <v>166</v>
      </c>
      <c r="D26" s="17" t="s">
        <v>737</v>
      </c>
      <c r="E26" s="17" t="s">
        <v>150</v>
      </c>
      <c r="F26" s="25">
        <v>33</v>
      </c>
      <c r="G26" s="25">
        <f t="shared" si="0"/>
        <v>-33</v>
      </c>
      <c r="H26" s="17" t="s">
        <v>888</v>
      </c>
      <c r="I26" s="17"/>
      <c r="J26" s="17"/>
    </row>
    <row r="27" spans="1:10" x14ac:dyDescent="0.25">
      <c r="A27" s="11">
        <v>46271.660151550925</v>
      </c>
      <c r="B27" s="17" t="s">
        <v>165</v>
      </c>
      <c r="C27" s="17" t="s">
        <v>166</v>
      </c>
      <c r="D27" s="17" t="s">
        <v>737</v>
      </c>
      <c r="E27" s="17" t="s">
        <v>154</v>
      </c>
      <c r="F27" s="25">
        <v>41.95</v>
      </c>
      <c r="G27" s="25">
        <f t="shared" si="0"/>
        <v>-41.95</v>
      </c>
      <c r="H27" s="17" t="s">
        <v>774</v>
      </c>
      <c r="I27" s="17"/>
      <c r="J27" s="17"/>
    </row>
    <row r="28" spans="1:10" x14ac:dyDescent="0.25">
      <c r="A28" s="11">
        <v>46271.731810648147</v>
      </c>
      <c r="B28" s="17" t="s">
        <v>165</v>
      </c>
      <c r="C28" s="17" t="s">
        <v>166</v>
      </c>
      <c r="D28" s="17" t="s">
        <v>113</v>
      </c>
      <c r="E28" s="17" t="s">
        <v>137</v>
      </c>
      <c r="F28" s="25">
        <v>145.51</v>
      </c>
      <c r="G28" s="25">
        <f t="shared" si="0"/>
        <v>-145.51</v>
      </c>
      <c r="H28" s="17" t="s">
        <v>803</v>
      </c>
      <c r="I28" s="17"/>
      <c r="J28" s="17"/>
    </row>
    <row r="29" spans="1:10" x14ac:dyDescent="0.25">
      <c r="A29" s="11">
        <v>46285.701971956019</v>
      </c>
      <c r="B29" s="17" t="s">
        <v>165</v>
      </c>
      <c r="C29" s="17" t="s">
        <v>733</v>
      </c>
      <c r="D29" s="17" t="s">
        <v>737</v>
      </c>
      <c r="E29" s="17" t="s">
        <v>149</v>
      </c>
      <c r="F29" s="25">
        <v>215.13</v>
      </c>
      <c r="G29" s="25">
        <f t="shared" si="0"/>
        <v>-215.13</v>
      </c>
      <c r="H29" s="17" t="s">
        <v>889</v>
      </c>
      <c r="I29" s="17"/>
      <c r="J29" s="17"/>
    </row>
    <row r="30" spans="1:10" x14ac:dyDescent="0.25">
      <c r="A30" s="11">
        <v>46273.987667881942</v>
      </c>
      <c r="B30" s="17" t="s">
        <v>165</v>
      </c>
      <c r="C30" s="17" t="s">
        <v>166</v>
      </c>
      <c r="D30" s="17" t="s">
        <v>737</v>
      </c>
      <c r="E30" s="17" t="s">
        <v>139</v>
      </c>
      <c r="F30" s="25">
        <v>20</v>
      </c>
      <c r="G30" s="25">
        <f t="shared" si="0"/>
        <v>-20</v>
      </c>
      <c r="H30" s="17" t="s">
        <v>890</v>
      </c>
      <c r="I30" s="17"/>
      <c r="J30" s="17"/>
    </row>
    <row r="31" spans="1:10" x14ac:dyDescent="0.25">
      <c r="A31" s="11">
        <v>46273.98801241898</v>
      </c>
      <c r="B31" s="17" t="s">
        <v>165</v>
      </c>
      <c r="C31" s="17" t="s">
        <v>166</v>
      </c>
      <c r="D31" s="17" t="s">
        <v>737</v>
      </c>
      <c r="E31" s="17" t="s">
        <v>139</v>
      </c>
      <c r="F31" s="25">
        <v>41.8</v>
      </c>
      <c r="G31" s="25">
        <f t="shared" si="0"/>
        <v>-41.8</v>
      </c>
      <c r="H31" s="17" t="s">
        <v>891</v>
      </c>
      <c r="I31" s="17"/>
      <c r="J31" s="17"/>
    </row>
    <row r="32" spans="1:10" x14ac:dyDescent="0.25">
      <c r="A32" s="11">
        <v>46275.691240821761</v>
      </c>
      <c r="B32" s="17" t="s">
        <v>165</v>
      </c>
      <c r="C32" s="17" t="s">
        <v>166</v>
      </c>
      <c r="D32" s="17" t="s">
        <v>737</v>
      </c>
      <c r="E32" s="17" t="s">
        <v>147</v>
      </c>
      <c r="F32" s="25">
        <v>31.43</v>
      </c>
      <c r="G32" s="25">
        <f t="shared" si="0"/>
        <v>-31.43</v>
      </c>
      <c r="H32" s="17" t="s">
        <v>892</v>
      </c>
      <c r="I32" s="17"/>
      <c r="J32" s="17"/>
    </row>
    <row r="33" spans="1:10" x14ac:dyDescent="0.25">
      <c r="A33" s="11">
        <v>46275.691535868056</v>
      </c>
      <c r="B33" s="17" t="s">
        <v>165</v>
      </c>
      <c r="C33" s="17" t="s">
        <v>166</v>
      </c>
      <c r="D33" s="17" t="s">
        <v>113</v>
      </c>
      <c r="E33" s="17" t="s">
        <v>150</v>
      </c>
      <c r="F33" s="25">
        <v>38.5</v>
      </c>
      <c r="G33" s="25">
        <f t="shared" si="0"/>
        <v>-38.5</v>
      </c>
      <c r="H33" s="17" t="s">
        <v>893</v>
      </c>
      <c r="I33" s="17"/>
      <c r="J33" s="17"/>
    </row>
    <row r="34" spans="1:10" x14ac:dyDescent="0.25">
      <c r="A34" s="11">
        <v>46276.771468541665</v>
      </c>
      <c r="B34" s="17" t="s">
        <v>165</v>
      </c>
      <c r="C34" s="17" t="s">
        <v>166</v>
      </c>
      <c r="D34" s="17" t="s">
        <v>737</v>
      </c>
      <c r="E34" s="17" t="s">
        <v>143</v>
      </c>
      <c r="F34" s="25">
        <v>22.55</v>
      </c>
      <c r="G34" s="25">
        <f t="shared" si="0"/>
        <v>-22.55</v>
      </c>
      <c r="H34" s="17" t="s">
        <v>894</v>
      </c>
      <c r="I34" s="17"/>
      <c r="J34" s="17"/>
    </row>
    <row r="35" spans="1:10" x14ac:dyDescent="0.25">
      <c r="A35" s="11">
        <v>46279.643399930559</v>
      </c>
      <c r="B35" s="17" t="s">
        <v>165</v>
      </c>
      <c r="C35" s="17" t="s">
        <v>166</v>
      </c>
      <c r="D35" s="17" t="s">
        <v>737</v>
      </c>
      <c r="E35" s="17" t="s">
        <v>139</v>
      </c>
      <c r="F35" s="25">
        <v>14</v>
      </c>
      <c r="G35" s="25">
        <f t="shared" si="0"/>
        <v>-14</v>
      </c>
      <c r="H35" s="17" t="s">
        <v>895</v>
      </c>
      <c r="I35" s="17"/>
      <c r="J35" s="17"/>
    </row>
    <row r="36" spans="1:10" x14ac:dyDescent="0.25">
      <c r="A36" s="11">
        <v>46276.928438831019</v>
      </c>
      <c r="B36" s="17" t="s">
        <v>165</v>
      </c>
      <c r="C36" s="17" t="s">
        <v>733</v>
      </c>
      <c r="D36" s="17" t="s">
        <v>737</v>
      </c>
      <c r="E36" s="17" t="s">
        <v>147</v>
      </c>
      <c r="F36" s="25">
        <v>24.93</v>
      </c>
      <c r="G36" s="25">
        <f t="shared" si="0"/>
        <v>-24.93</v>
      </c>
      <c r="H36" s="17" t="s">
        <v>896</v>
      </c>
      <c r="I36" s="17"/>
      <c r="J36" s="17"/>
    </row>
    <row r="37" spans="1:10" x14ac:dyDescent="0.25">
      <c r="A37" s="11">
        <v>46277.434859398149</v>
      </c>
      <c r="B37" s="17" t="s">
        <v>165</v>
      </c>
      <c r="C37" s="17" t="s">
        <v>166</v>
      </c>
      <c r="D37" s="17" t="s">
        <v>737</v>
      </c>
      <c r="E37" s="17" t="s">
        <v>139</v>
      </c>
      <c r="F37" s="25">
        <v>15</v>
      </c>
      <c r="G37" s="25">
        <f>IF(B37="Saída",-ABS(F37),ABS(F37))</f>
        <v>-15</v>
      </c>
      <c r="H37" s="17" t="s">
        <v>897</v>
      </c>
      <c r="I37" s="17"/>
      <c r="J37" s="17"/>
    </row>
    <row r="38" spans="1:10" x14ac:dyDescent="0.25">
      <c r="A38" s="11">
        <v>46277.823279907403</v>
      </c>
      <c r="B38" s="17" t="s">
        <v>165</v>
      </c>
      <c r="C38" s="17" t="s">
        <v>166</v>
      </c>
      <c r="D38" s="17" t="s">
        <v>737</v>
      </c>
      <c r="E38" s="17" t="s">
        <v>143</v>
      </c>
      <c r="F38" s="25">
        <v>10</v>
      </c>
      <c r="G38" s="25">
        <f t="shared" ref="G38:G133" si="4">IF(B38="Saída", -ABS(F38), ABS(F38))</f>
        <v>-10</v>
      </c>
      <c r="H38" s="17" t="s">
        <v>898</v>
      </c>
      <c r="I38" s="17"/>
      <c r="J38" s="17"/>
    </row>
    <row r="39" spans="1:10" x14ac:dyDescent="0.25">
      <c r="A39" s="11">
        <v>46279.643690219906</v>
      </c>
      <c r="B39" s="17" t="s">
        <v>165</v>
      </c>
      <c r="C39" s="17" t="s">
        <v>166</v>
      </c>
      <c r="D39" s="17" t="s">
        <v>737</v>
      </c>
      <c r="E39" s="17" t="s">
        <v>139</v>
      </c>
      <c r="F39" s="25">
        <v>28</v>
      </c>
      <c r="G39" s="25">
        <f t="shared" si="4"/>
        <v>-28</v>
      </c>
      <c r="H39" s="17" t="s">
        <v>899</v>
      </c>
      <c r="I39" s="17"/>
      <c r="J39" s="17"/>
    </row>
    <row r="40" spans="1:10" x14ac:dyDescent="0.25">
      <c r="A40" s="11">
        <v>46279.644099791665</v>
      </c>
      <c r="B40" s="17" t="s">
        <v>165</v>
      </c>
      <c r="C40" s="17" t="s">
        <v>166</v>
      </c>
      <c r="D40" s="17" t="s">
        <v>737</v>
      </c>
      <c r="E40" s="17" t="s">
        <v>143</v>
      </c>
      <c r="F40" s="25">
        <v>12.5</v>
      </c>
      <c r="G40" s="25">
        <f t="shared" si="4"/>
        <v>-12.5</v>
      </c>
      <c r="H40" s="17" t="s">
        <v>898</v>
      </c>
      <c r="I40" s="17"/>
      <c r="J40" s="17"/>
    </row>
    <row r="41" spans="1:10" x14ac:dyDescent="0.25">
      <c r="A41" s="11">
        <v>46279.644431770837</v>
      </c>
      <c r="B41" s="17" t="s">
        <v>165</v>
      </c>
      <c r="C41" s="17" t="s">
        <v>166</v>
      </c>
      <c r="D41" s="17" t="s">
        <v>113</v>
      </c>
      <c r="E41" s="17" t="s">
        <v>143</v>
      </c>
      <c r="F41" s="25">
        <v>6.58</v>
      </c>
      <c r="G41" s="25">
        <f t="shared" si="4"/>
        <v>-6.58</v>
      </c>
      <c r="H41" s="17" t="s">
        <v>900</v>
      </c>
      <c r="I41" s="17"/>
      <c r="J41" s="17"/>
    </row>
    <row r="42" spans="1:10" x14ac:dyDescent="0.25">
      <c r="A42" s="11">
        <v>46279.987126828702</v>
      </c>
      <c r="B42" s="17" t="s">
        <v>165</v>
      </c>
      <c r="C42" s="17" t="s">
        <v>166</v>
      </c>
      <c r="D42" s="17" t="s">
        <v>113</v>
      </c>
      <c r="E42" s="17" t="s">
        <v>144</v>
      </c>
      <c r="F42" s="25">
        <v>100</v>
      </c>
      <c r="G42" s="25">
        <f t="shared" si="4"/>
        <v>-100</v>
      </c>
      <c r="H42" s="17" t="s">
        <v>901</v>
      </c>
      <c r="I42" s="17"/>
      <c r="J42" s="17"/>
    </row>
    <row r="43" spans="1:10" x14ac:dyDescent="0.25">
      <c r="A43" s="11">
        <v>46280.425987175928</v>
      </c>
      <c r="B43" s="17" t="s">
        <v>165</v>
      </c>
      <c r="C43" s="17" t="s">
        <v>166</v>
      </c>
      <c r="D43" s="17" t="s">
        <v>737</v>
      </c>
      <c r="E43" s="17" t="s">
        <v>147</v>
      </c>
      <c r="F43" s="25">
        <v>156.19999999999999</v>
      </c>
      <c r="G43" s="25">
        <f t="shared" si="4"/>
        <v>-156.19999999999999</v>
      </c>
      <c r="H43" s="17" t="s">
        <v>902</v>
      </c>
      <c r="I43" s="17"/>
      <c r="J43" s="17"/>
    </row>
    <row r="44" spans="1:10" x14ac:dyDescent="0.25">
      <c r="A44" s="11">
        <v>46280.571733136574</v>
      </c>
      <c r="B44" s="17" t="s">
        <v>165</v>
      </c>
      <c r="C44" s="17" t="s">
        <v>166</v>
      </c>
      <c r="D44" s="17" t="s">
        <v>113</v>
      </c>
      <c r="E44" s="17" t="s">
        <v>150</v>
      </c>
      <c r="F44" s="25">
        <v>37.5</v>
      </c>
      <c r="G44" s="25">
        <f t="shared" si="4"/>
        <v>-37.5</v>
      </c>
      <c r="H44" s="17" t="s">
        <v>815</v>
      </c>
      <c r="I44" s="17"/>
      <c r="J44" s="17"/>
    </row>
    <row r="45" spans="1:10" x14ac:dyDescent="0.25">
      <c r="A45" s="11">
        <v>46281.380721354166</v>
      </c>
      <c r="B45" s="17" t="s">
        <v>165</v>
      </c>
      <c r="C45" s="17" t="s">
        <v>166</v>
      </c>
      <c r="D45" s="17" t="s">
        <v>113</v>
      </c>
      <c r="E45" s="17" t="s">
        <v>137</v>
      </c>
      <c r="F45" s="25">
        <v>166.3</v>
      </c>
      <c r="G45" s="25">
        <f t="shared" si="4"/>
        <v>-166.3</v>
      </c>
      <c r="H45" s="17" t="s">
        <v>903</v>
      </c>
      <c r="I45" s="17"/>
      <c r="J45" s="17"/>
    </row>
    <row r="46" spans="1:10" x14ac:dyDescent="0.25">
      <c r="A46" s="11">
        <v>46281.389263773148</v>
      </c>
      <c r="B46" s="17" t="s">
        <v>165</v>
      </c>
      <c r="C46" s="17" t="s">
        <v>166</v>
      </c>
      <c r="D46" s="17" t="s">
        <v>113</v>
      </c>
      <c r="E46" s="17" t="s">
        <v>147</v>
      </c>
      <c r="F46" s="25">
        <v>80</v>
      </c>
      <c r="G46" s="25">
        <f t="shared" si="4"/>
        <v>-80</v>
      </c>
      <c r="H46" s="17" t="s">
        <v>904</v>
      </c>
      <c r="I46" s="17"/>
      <c r="J46" s="17"/>
    </row>
    <row r="47" spans="1:10" x14ac:dyDescent="0.25">
      <c r="A47" s="11">
        <v>46281.544800115742</v>
      </c>
      <c r="B47" s="17" t="s">
        <v>165</v>
      </c>
      <c r="C47" s="17" t="s">
        <v>166</v>
      </c>
      <c r="D47" s="17" t="s">
        <v>113</v>
      </c>
      <c r="E47" s="17" t="s">
        <v>150</v>
      </c>
      <c r="F47" s="25">
        <v>35.5</v>
      </c>
      <c r="G47" s="25">
        <f t="shared" si="4"/>
        <v>-35.5</v>
      </c>
      <c r="H47" s="17" t="s">
        <v>905</v>
      </c>
      <c r="I47" s="17"/>
      <c r="J47" s="17"/>
    </row>
    <row r="48" spans="1:10" x14ac:dyDescent="0.25">
      <c r="A48" s="11">
        <v>46283.518793379626</v>
      </c>
      <c r="B48" s="17" t="s">
        <v>165</v>
      </c>
      <c r="C48" s="17" t="s">
        <v>166</v>
      </c>
      <c r="D48" s="17" t="s">
        <v>113</v>
      </c>
      <c r="E48" s="17" t="s">
        <v>150</v>
      </c>
      <c r="F48" s="25">
        <v>39.799999999999997</v>
      </c>
      <c r="G48" s="25">
        <f t="shared" si="4"/>
        <v>-39.799999999999997</v>
      </c>
      <c r="H48" s="17" t="s">
        <v>905</v>
      </c>
      <c r="I48" s="17"/>
      <c r="J48" s="17"/>
    </row>
    <row r="49" spans="1:10" x14ac:dyDescent="0.25">
      <c r="A49" s="11">
        <v>46283.518793379626</v>
      </c>
      <c r="B49" s="17" t="s">
        <v>165</v>
      </c>
      <c r="C49" s="17" t="s">
        <v>166</v>
      </c>
      <c r="D49" s="17" t="s">
        <v>117</v>
      </c>
      <c r="E49" s="17" t="s">
        <v>143</v>
      </c>
      <c r="F49" s="25">
        <v>10</v>
      </c>
      <c r="G49" s="25">
        <f t="shared" si="4"/>
        <v>-10</v>
      </c>
      <c r="H49" s="17" t="s">
        <v>906</v>
      </c>
      <c r="I49" s="17"/>
      <c r="J49" s="17"/>
    </row>
    <row r="50" spans="1:10" x14ac:dyDescent="0.25">
      <c r="A50" s="11">
        <v>46283.518793379626</v>
      </c>
      <c r="B50" s="17" t="s">
        <v>165</v>
      </c>
      <c r="C50" s="17" t="s">
        <v>166</v>
      </c>
      <c r="D50" s="17" t="s">
        <v>117</v>
      </c>
      <c r="E50" s="17" t="s">
        <v>139</v>
      </c>
      <c r="F50" s="25">
        <v>26.5</v>
      </c>
      <c r="G50" s="25">
        <f t="shared" si="4"/>
        <v>-26.5</v>
      </c>
      <c r="H50" s="17" t="s">
        <v>907</v>
      </c>
      <c r="I50" s="17"/>
      <c r="J50" s="17"/>
    </row>
    <row r="51" spans="1:10" x14ac:dyDescent="0.25">
      <c r="A51" s="11">
        <v>46283.518793379626</v>
      </c>
      <c r="B51" s="17" t="s">
        <v>165</v>
      </c>
      <c r="C51" s="17" t="s">
        <v>166</v>
      </c>
      <c r="D51" s="17" t="s">
        <v>113</v>
      </c>
      <c r="E51" s="17" t="s">
        <v>121</v>
      </c>
      <c r="F51" s="25">
        <v>35</v>
      </c>
      <c r="G51" s="25">
        <f t="shared" si="4"/>
        <v>-35</v>
      </c>
      <c r="H51" s="17" t="s">
        <v>908</v>
      </c>
      <c r="I51" s="17"/>
      <c r="J51" s="17"/>
    </row>
    <row r="52" spans="1:10" x14ac:dyDescent="0.25">
      <c r="A52" s="11">
        <v>46285.69539818287</v>
      </c>
      <c r="B52" s="17" t="s">
        <v>165</v>
      </c>
      <c r="C52" s="17" t="s">
        <v>166</v>
      </c>
      <c r="D52" s="17" t="s">
        <v>737</v>
      </c>
      <c r="E52" s="17" t="s">
        <v>139</v>
      </c>
      <c r="F52" s="25">
        <v>55.25</v>
      </c>
      <c r="G52" s="25">
        <f t="shared" si="4"/>
        <v>-55.25</v>
      </c>
      <c r="H52" s="17" t="s">
        <v>909</v>
      </c>
      <c r="I52" s="17"/>
      <c r="J52" s="17"/>
    </row>
    <row r="53" spans="1:10" x14ac:dyDescent="0.25">
      <c r="A53" s="11">
        <v>46285.696118182866</v>
      </c>
      <c r="B53" s="17" t="s">
        <v>165</v>
      </c>
      <c r="C53" s="17" t="s">
        <v>166</v>
      </c>
      <c r="D53" s="17" t="s">
        <v>737</v>
      </c>
      <c r="E53" s="17" t="s">
        <v>143</v>
      </c>
      <c r="F53" s="25">
        <v>6.9</v>
      </c>
      <c r="G53" s="25">
        <f t="shared" si="4"/>
        <v>-6.9</v>
      </c>
      <c r="H53" s="17" t="s">
        <v>910</v>
      </c>
      <c r="I53" s="30"/>
      <c r="J53" s="17"/>
    </row>
    <row r="54" spans="1:10" x14ac:dyDescent="0.25">
      <c r="A54" s="11">
        <v>46285.696373298611</v>
      </c>
      <c r="B54" s="17" t="s">
        <v>165</v>
      </c>
      <c r="C54" s="17" t="s">
        <v>166</v>
      </c>
      <c r="D54" s="17" t="s">
        <v>113</v>
      </c>
      <c r="E54" s="17" t="s">
        <v>124</v>
      </c>
      <c r="F54" s="25">
        <v>51</v>
      </c>
      <c r="G54" s="25">
        <f t="shared" si="4"/>
        <v>-51</v>
      </c>
      <c r="H54" s="17" t="s">
        <v>911</v>
      </c>
      <c r="I54" s="30"/>
      <c r="J54" s="17"/>
    </row>
    <row r="55" spans="1:10" x14ac:dyDescent="0.25">
      <c r="A55" s="11">
        <v>46285.696613854168</v>
      </c>
      <c r="B55" s="17" t="s">
        <v>165</v>
      </c>
      <c r="C55" s="17" t="s">
        <v>166</v>
      </c>
      <c r="D55" s="17" t="s">
        <v>737</v>
      </c>
      <c r="E55" s="17" t="s">
        <v>139</v>
      </c>
      <c r="F55" s="25">
        <v>28</v>
      </c>
      <c r="G55" s="25">
        <f t="shared" si="4"/>
        <v>-28</v>
      </c>
      <c r="H55" s="17" t="s">
        <v>912</v>
      </c>
      <c r="I55" s="30"/>
      <c r="J55" s="17"/>
    </row>
    <row r="56" spans="1:10" x14ac:dyDescent="0.25">
      <c r="A56" s="11">
        <v>46285.696880821764</v>
      </c>
      <c r="B56" s="17" t="s">
        <v>165</v>
      </c>
      <c r="C56" s="17" t="s">
        <v>166</v>
      </c>
      <c r="D56" s="17" t="s">
        <v>737</v>
      </c>
      <c r="E56" s="17" t="s">
        <v>139</v>
      </c>
      <c r="F56" s="25">
        <v>274</v>
      </c>
      <c r="G56" s="25">
        <f t="shared" si="4"/>
        <v>-274</v>
      </c>
      <c r="H56" s="17" t="s">
        <v>913</v>
      </c>
      <c r="I56" s="30"/>
      <c r="J56" s="17"/>
    </row>
    <row r="57" spans="1:10" x14ac:dyDescent="0.25">
      <c r="A57" s="11">
        <v>46285.697446006947</v>
      </c>
      <c r="B57" s="17" t="s">
        <v>165</v>
      </c>
      <c r="C57" s="17" t="s">
        <v>166</v>
      </c>
      <c r="D57" s="17" t="s">
        <v>737</v>
      </c>
      <c r="E57" s="17" t="s">
        <v>151</v>
      </c>
      <c r="F57" s="25">
        <v>74.569999999999993</v>
      </c>
      <c r="G57" s="25">
        <f t="shared" si="4"/>
        <v>-74.569999999999993</v>
      </c>
      <c r="H57" s="17" t="s">
        <v>914</v>
      </c>
      <c r="I57" s="30"/>
      <c r="J57" s="17"/>
    </row>
    <row r="58" spans="1:10" x14ac:dyDescent="0.25">
      <c r="A58" s="11">
        <v>46285.698314780093</v>
      </c>
      <c r="B58" s="17" t="s">
        <v>165</v>
      </c>
      <c r="C58" s="17" t="s">
        <v>166</v>
      </c>
      <c r="D58" s="17" t="s">
        <v>737</v>
      </c>
      <c r="E58" s="17" t="s">
        <v>149</v>
      </c>
      <c r="F58" s="25">
        <v>200</v>
      </c>
      <c r="G58" s="25">
        <f t="shared" si="4"/>
        <v>-200</v>
      </c>
      <c r="H58" s="17" t="s">
        <v>915</v>
      </c>
      <c r="I58" s="30"/>
      <c r="J58" s="17"/>
    </row>
    <row r="59" spans="1:10" x14ac:dyDescent="0.25">
      <c r="A59" s="11">
        <v>46285.698591909721</v>
      </c>
      <c r="B59" s="17" t="s">
        <v>165</v>
      </c>
      <c r="C59" s="17" t="s">
        <v>166</v>
      </c>
      <c r="D59" s="17" t="s">
        <v>737</v>
      </c>
      <c r="E59" s="17" t="s">
        <v>143</v>
      </c>
      <c r="F59" s="25">
        <v>15</v>
      </c>
      <c r="G59" s="25">
        <f t="shared" si="4"/>
        <v>-15</v>
      </c>
      <c r="H59" s="17" t="s">
        <v>898</v>
      </c>
      <c r="I59" s="17"/>
      <c r="J59" s="17"/>
    </row>
    <row r="60" spans="1:10" x14ac:dyDescent="0.25">
      <c r="A60" s="11">
        <v>46287.4319946412</v>
      </c>
      <c r="B60" s="17" t="s">
        <v>165</v>
      </c>
      <c r="C60" s="17" t="s">
        <v>166</v>
      </c>
      <c r="D60" s="17" t="s">
        <v>113</v>
      </c>
      <c r="E60" s="17" t="s">
        <v>150</v>
      </c>
      <c r="F60" s="25">
        <v>35.6</v>
      </c>
      <c r="G60" s="25">
        <f t="shared" si="4"/>
        <v>-35.6</v>
      </c>
      <c r="H60" s="17" t="s">
        <v>905</v>
      </c>
      <c r="I60" s="17"/>
      <c r="J60" s="17"/>
    </row>
    <row r="61" spans="1:10" x14ac:dyDescent="0.25">
      <c r="A61" s="11">
        <v>46287.4319946412</v>
      </c>
      <c r="B61" s="17" t="s">
        <v>165</v>
      </c>
      <c r="C61" s="17" t="s">
        <v>166</v>
      </c>
      <c r="D61" s="17" t="s">
        <v>113</v>
      </c>
      <c r="E61" s="17" t="s">
        <v>150</v>
      </c>
      <c r="F61" s="25">
        <v>42.6</v>
      </c>
      <c r="G61" s="25">
        <f t="shared" si="4"/>
        <v>-42.6</v>
      </c>
      <c r="H61" s="17" t="s">
        <v>905</v>
      </c>
      <c r="I61" s="17"/>
      <c r="J61" s="17"/>
    </row>
    <row r="62" spans="1:10" x14ac:dyDescent="0.25">
      <c r="A62" s="39">
        <v>46288.431990740741</v>
      </c>
      <c r="B62" s="17" t="s">
        <v>165</v>
      </c>
      <c r="C62" s="17" t="s">
        <v>166</v>
      </c>
      <c r="D62" s="17" t="s">
        <v>117</v>
      </c>
      <c r="E62" s="17" t="s">
        <v>139</v>
      </c>
      <c r="F62" s="25">
        <v>116.5</v>
      </c>
      <c r="G62" s="25">
        <f t="shared" si="4"/>
        <v>-116.5</v>
      </c>
      <c r="H62" s="17" t="s">
        <v>916</v>
      </c>
      <c r="I62" s="17"/>
      <c r="J62" s="17"/>
    </row>
    <row r="63" spans="1:10" x14ac:dyDescent="0.25">
      <c r="A63" s="39">
        <v>46289.431990740741</v>
      </c>
      <c r="B63" s="17" t="s">
        <v>165</v>
      </c>
      <c r="C63" s="17" t="s">
        <v>166</v>
      </c>
      <c r="D63" s="17" t="s">
        <v>113</v>
      </c>
      <c r="E63" s="17" t="s">
        <v>150</v>
      </c>
      <c r="F63" s="25">
        <v>60.64</v>
      </c>
      <c r="G63" s="25">
        <f t="shared" si="4"/>
        <v>-60.64</v>
      </c>
      <c r="H63" s="17" t="s">
        <v>917</v>
      </c>
      <c r="I63" s="17"/>
      <c r="J63" s="17"/>
    </row>
    <row r="64" spans="1:10" x14ac:dyDescent="0.25">
      <c r="A64" s="39">
        <v>46290.431990740741</v>
      </c>
      <c r="B64" s="17" t="s">
        <v>165</v>
      </c>
      <c r="C64" s="17" t="s">
        <v>166</v>
      </c>
      <c r="D64" s="17" t="s">
        <v>113</v>
      </c>
      <c r="E64" s="17" t="s">
        <v>147</v>
      </c>
      <c r="F64" s="25">
        <v>110</v>
      </c>
      <c r="G64" s="25">
        <f t="shared" si="4"/>
        <v>-110</v>
      </c>
      <c r="H64" s="17" t="s">
        <v>918</v>
      </c>
      <c r="I64" s="17"/>
      <c r="J64" s="17"/>
    </row>
    <row r="65" spans="1:10" x14ac:dyDescent="0.25">
      <c r="A65" s="39">
        <v>46290.431990740741</v>
      </c>
      <c r="B65" s="17" t="s">
        <v>165</v>
      </c>
      <c r="C65" s="17" t="s">
        <v>166</v>
      </c>
      <c r="D65" s="17" t="s">
        <v>113</v>
      </c>
      <c r="E65" s="17" t="s">
        <v>147</v>
      </c>
      <c r="F65" s="25">
        <v>15</v>
      </c>
      <c r="G65" s="25">
        <f t="shared" si="4"/>
        <v>-15</v>
      </c>
      <c r="H65" s="17" t="s">
        <v>918</v>
      </c>
      <c r="I65" s="17"/>
      <c r="J65" s="17"/>
    </row>
    <row r="66" spans="1:10" x14ac:dyDescent="0.25">
      <c r="A66" s="39">
        <v>46290.431990740741</v>
      </c>
      <c r="B66" s="17" t="s">
        <v>165</v>
      </c>
      <c r="C66" s="17" t="s">
        <v>166</v>
      </c>
      <c r="D66" s="17" t="s">
        <v>113</v>
      </c>
      <c r="E66" s="17" t="s">
        <v>137</v>
      </c>
      <c r="F66" s="25">
        <v>162.13</v>
      </c>
      <c r="G66" s="25">
        <f t="shared" si="4"/>
        <v>-162.13</v>
      </c>
      <c r="H66" s="17" t="s">
        <v>831</v>
      </c>
      <c r="I66" s="17"/>
      <c r="J66" s="17"/>
    </row>
    <row r="67" spans="1:10" x14ac:dyDescent="0.25">
      <c r="A67" s="39">
        <v>46291.431990740741</v>
      </c>
      <c r="B67" s="17" t="s">
        <v>165</v>
      </c>
      <c r="C67" s="17" t="s">
        <v>166</v>
      </c>
      <c r="D67" s="17" t="s">
        <v>117</v>
      </c>
      <c r="E67" s="17" t="s">
        <v>147</v>
      </c>
      <c r="F67" s="25">
        <v>13</v>
      </c>
      <c r="G67" s="25">
        <f t="shared" si="4"/>
        <v>-13</v>
      </c>
      <c r="H67" s="17"/>
      <c r="I67" s="17"/>
      <c r="J67" s="17"/>
    </row>
    <row r="68" spans="1:10" x14ac:dyDescent="0.25">
      <c r="A68" s="39">
        <v>46291.431990740741</v>
      </c>
      <c r="B68" s="17" t="s">
        <v>165</v>
      </c>
      <c r="C68" s="17" t="s">
        <v>166</v>
      </c>
      <c r="D68" s="17" t="s">
        <v>117</v>
      </c>
      <c r="E68" s="17" t="s">
        <v>139</v>
      </c>
      <c r="F68" s="25">
        <v>31</v>
      </c>
      <c r="G68" s="25">
        <f t="shared" si="4"/>
        <v>-31</v>
      </c>
      <c r="H68" s="17" t="s">
        <v>919</v>
      </c>
      <c r="I68" s="17"/>
      <c r="J68" s="17"/>
    </row>
    <row r="69" spans="1:10" x14ac:dyDescent="0.25">
      <c r="A69" s="39">
        <v>46291.431990740741</v>
      </c>
      <c r="B69" s="17" t="s">
        <v>165</v>
      </c>
      <c r="C69" s="17" t="s">
        <v>166</v>
      </c>
      <c r="D69" s="17" t="s">
        <v>113</v>
      </c>
      <c r="E69" s="17" t="s">
        <v>150</v>
      </c>
      <c r="F69" s="25">
        <v>49.23</v>
      </c>
      <c r="G69" s="25">
        <f t="shared" si="4"/>
        <v>-49.23</v>
      </c>
      <c r="H69" s="17" t="s">
        <v>920</v>
      </c>
      <c r="I69" s="17"/>
      <c r="J69" s="17"/>
    </row>
    <row r="70" spans="1:10" x14ac:dyDescent="0.25">
      <c r="A70" s="11"/>
      <c r="B70" s="17"/>
      <c r="C70" s="17"/>
      <c r="D70" s="17"/>
      <c r="E70" s="17"/>
      <c r="F70" s="25"/>
      <c r="G70" s="25">
        <f t="shared" si="4"/>
        <v>0</v>
      </c>
      <c r="H70" s="17"/>
      <c r="I70" s="17"/>
      <c r="J70" s="17"/>
    </row>
    <row r="71" spans="1:10" x14ac:dyDescent="0.25">
      <c r="A71" s="11"/>
      <c r="B71" s="17"/>
      <c r="C71" s="17"/>
      <c r="D71" s="17"/>
      <c r="E71" s="17"/>
      <c r="F71" s="25"/>
      <c r="G71" s="25">
        <f t="shared" si="4"/>
        <v>0</v>
      </c>
      <c r="H71" s="17"/>
      <c r="I71" s="17"/>
      <c r="J71" s="17"/>
    </row>
    <row r="72" spans="1:10" x14ac:dyDescent="0.25">
      <c r="A72" s="11"/>
      <c r="B72" s="17"/>
      <c r="C72" s="17"/>
      <c r="D72" s="17"/>
      <c r="E72" s="17"/>
      <c r="F72" s="25"/>
      <c r="G72" s="25">
        <f t="shared" si="4"/>
        <v>0</v>
      </c>
      <c r="H72" s="17"/>
      <c r="I72" s="17"/>
      <c r="J72" s="17"/>
    </row>
    <row r="73" spans="1:10" x14ac:dyDescent="0.25">
      <c r="A73" s="11"/>
      <c r="B73" s="17"/>
      <c r="C73" s="17"/>
      <c r="D73" s="17"/>
      <c r="E73" s="17"/>
      <c r="F73" s="25"/>
      <c r="G73" s="25">
        <f t="shared" si="4"/>
        <v>0</v>
      </c>
      <c r="H73" s="17"/>
      <c r="I73" s="17"/>
      <c r="J73" s="17"/>
    </row>
    <row r="74" spans="1:10" x14ac:dyDescent="0.25">
      <c r="A74" s="11"/>
      <c r="B74" s="17"/>
      <c r="C74" s="17"/>
      <c r="D74" s="17"/>
      <c r="E74" s="17"/>
      <c r="F74" s="25"/>
      <c r="G74" s="25">
        <f t="shared" si="4"/>
        <v>0</v>
      </c>
      <c r="H74" s="17"/>
      <c r="I74" s="17"/>
      <c r="J74" s="17"/>
    </row>
    <row r="75" spans="1:10" x14ac:dyDescent="0.25">
      <c r="A75" s="11"/>
      <c r="B75" s="17"/>
      <c r="C75" s="17"/>
      <c r="D75" s="17"/>
      <c r="E75" s="17"/>
      <c r="F75" s="25"/>
      <c r="G75" s="25">
        <f t="shared" si="4"/>
        <v>0</v>
      </c>
      <c r="H75" s="17"/>
      <c r="I75" s="30"/>
      <c r="J75" s="17"/>
    </row>
    <row r="76" spans="1:10" x14ac:dyDescent="0.25">
      <c r="A76" s="11"/>
      <c r="B76" s="17"/>
      <c r="C76" s="17"/>
      <c r="D76" s="17"/>
      <c r="E76" s="17"/>
      <c r="F76" s="25"/>
      <c r="G76" s="25">
        <f t="shared" si="4"/>
        <v>0</v>
      </c>
      <c r="H76" s="17"/>
      <c r="I76" s="30"/>
      <c r="J76" s="17"/>
    </row>
    <row r="77" spans="1:10" x14ac:dyDescent="0.25">
      <c r="A77" s="11"/>
      <c r="B77" s="17"/>
      <c r="C77" s="17"/>
      <c r="D77" s="17"/>
      <c r="E77" s="17"/>
      <c r="F77" s="25"/>
      <c r="G77" s="25">
        <f t="shared" si="4"/>
        <v>0</v>
      </c>
      <c r="H77" s="17"/>
      <c r="I77" s="17"/>
      <c r="J77" s="17"/>
    </row>
    <row r="78" spans="1:10" x14ac:dyDescent="0.25">
      <c r="A78" s="11"/>
      <c r="B78" s="17"/>
      <c r="C78" s="17"/>
      <c r="D78" s="17"/>
      <c r="E78" s="17"/>
      <c r="F78" s="25"/>
      <c r="G78" s="25">
        <f t="shared" si="4"/>
        <v>0</v>
      </c>
      <c r="H78" s="17"/>
      <c r="I78" s="17"/>
      <c r="J78" s="17"/>
    </row>
    <row r="79" spans="1:10" x14ac:dyDescent="0.25">
      <c r="A79" s="11"/>
      <c r="B79" s="17"/>
      <c r="C79" s="17"/>
      <c r="D79" s="17"/>
      <c r="E79" s="17"/>
      <c r="F79" s="25"/>
      <c r="G79" s="25">
        <f t="shared" si="4"/>
        <v>0</v>
      </c>
      <c r="H79" s="17"/>
      <c r="I79" s="17"/>
      <c r="J79" s="17"/>
    </row>
    <row r="80" spans="1:10" x14ac:dyDescent="0.25">
      <c r="A80" s="11"/>
      <c r="B80" s="17"/>
      <c r="C80" s="17"/>
      <c r="D80" s="17"/>
      <c r="E80" s="17"/>
      <c r="F80" s="25"/>
      <c r="G80" s="25">
        <f t="shared" si="4"/>
        <v>0</v>
      </c>
      <c r="H80" s="17"/>
      <c r="I80" s="17"/>
      <c r="J80" s="17"/>
    </row>
    <row r="81" spans="1:10" x14ac:dyDescent="0.25">
      <c r="A81" s="11"/>
      <c r="B81" s="17"/>
      <c r="C81" s="17"/>
      <c r="D81" s="17"/>
      <c r="E81" s="17"/>
      <c r="F81" s="25"/>
      <c r="G81" s="25">
        <f t="shared" si="4"/>
        <v>0</v>
      </c>
      <c r="H81" s="17"/>
      <c r="I81" s="17"/>
      <c r="J81" s="17"/>
    </row>
    <row r="82" spans="1:10" x14ac:dyDescent="0.25">
      <c r="A82" s="11"/>
      <c r="B82" s="17"/>
      <c r="C82" s="17"/>
      <c r="D82" s="17"/>
      <c r="E82" s="17"/>
      <c r="F82" s="25"/>
      <c r="G82" s="25">
        <f t="shared" si="4"/>
        <v>0</v>
      </c>
      <c r="H82" s="17"/>
      <c r="I82" s="17"/>
      <c r="J82" s="17"/>
    </row>
    <row r="83" spans="1:10" x14ac:dyDescent="0.25">
      <c r="A83" s="11"/>
      <c r="B83" s="17"/>
      <c r="C83" s="17"/>
      <c r="D83" s="17"/>
      <c r="E83" s="17"/>
      <c r="F83" s="25"/>
      <c r="G83" s="25">
        <f t="shared" si="4"/>
        <v>0</v>
      </c>
      <c r="H83" s="17"/>
      <c r="I83" s="17"/>
      <c r="J83" s="17"/>
    </row>
    <row r="84" spans="1:10" x14ac:dyDescent="0.25">
      <c r="A84" s="11"/>
      <c r="B84" s="17"/>
      <c r="C84" s="17"/>
      <c r="D84" s="17"/>
      <c r="E84" s="17"/>
      <c r="F84" s="25"/>
      <c r="G84" s="25">
        <f t="shared" si="4"/>
        <v>0</v>
      </c>
      <c r="H84" s="17"/>
      <c r="I84" s="17"/>
      <c r="J84" s="17"/>
    </row>
    <row r="85" spans="1:10" x14ac:dyDescent="0.25">
      <c r="A85" s="11"/>
      <c r="B85" s="17"/>
      <c r="C85" s="17"/>
      <c r="D85" s="17"/>
      <c r="E85" s="17"/>
      <c r="F85" s="25"/>
      <c r="G85" s="25">
        <f t="shared" si="4"/>
        <v>0</v>
      </c>
      <c r="H85" s="17"/>
      <c r="I85" s="17"/>
      <c r="J85" s="17"/>
    </row>
    <row r="86" spans="1:10" x14ac:dyDescent="0.25">
      <c r="A86" s="11"/>
      <c r="B86" s="17"/>
      <c r="C86" s="17"/>
      <c r="D86" s="17"/>
      <c r="E86" s="17"/>
      <c r="F86" s="25"/>
      <c r="G86" s="25">
        <f t="shared" si="4"/>
        <v>0</v>
      </c>
      <c r="H86" s="17"/>
      <c r="I86" s="17"/>
      <c r="J86" s="17"/>
    </row>
    <row r="87" spans="1:10" x14ac:dyDescent="0.25">
      <c r="A87" s="11"/>
      <c r="B87" s="17"/>
      <c r="C87" s="17"/>
      <c r="D87" s="17"/>
      <c r="E87" s="17"/>
      <c r="F87" s="25"/>
      <c r="G87" s="25">
        <f t="shared" si="4"/>
        <v>0</v>
      </c>
      <c r="H87" s="17"/>
      <c r="I87" s="17"/>
      <c r="J87" s="17"/>
    </row>
    <row r="88" spans="1:10" x14ac:dyDescent="0.25">
      <c r="A88" s="11"/>
      <c r="B88" s="17"/>
      <c r="C88" s="17"/>
      <c r="D88" s="17"/>
      <c r="E88" s="17"/>
      <c r="F88" s="25"/>
      <c r="G88" s="25">
        <f t="shared" si="4"/>
        <v>0</v>
      </c>
      <c r="H88" s="17"/>
      <c r="I88" s="17"/>
      <c r="J88" s="17"/>
    </row>
    <row r="89" spans="1:10" x14ac:dyDescent="0.25">
      <c r="A89" s="11"/>
      <c r="B89" s="17"/>
      <c r="C89" s="17"/>
      <c r="D89" s="17"/>
      <c r="E89" s="17"/>
      <c r="F89" s="25"/>
      <c r="G89" s="25">
        <f t="shared" si="4"/>
        <v>0</v>
      </c>
      <c r="H89" s="17"/>
      <c r="I89" s="17"/>
      <c r="J89" s="17"/>
    </row>
    <row r="90" spans="1:10" x14ac:dyDescent="0.25">
      <c r="A90" s="11"/>
      <c r="B90" s="17"/>
      <c r="C90" s="17"/>
      <c r="D90" s="17"/>
      <c r="E90" s="17"/>
      <c r="F90" s="25"/>
      <c r="G90" s="25">
        <f t="shared" si="4"/>
        <v>0</v>
      </c>
      <c r="H90" s="17"/>
      <c r="I90" s="17"/>
      <c r="J90" s="17"/>
    </row>
    <row r="91" spans="1:10" x14ac:dyDescent="0.25">
      <c r="A91" s="11"/>
      <c r="B91" s="17"/>
      <c r="C91" s="17"/>
      <c r="D91" s="17"/>
      <c r="E91" s="17"/>
      <c r="F91" s="25"/>
      <c r="G91" s="25">
        <f t="shared" si="4"/>
        <v>0</v>
      </c>
      <c r="H91" s="17"/>
      <c r="I91" s="17"/>
      <c r="J91" s="17"/>
    </row>
    <row r="92" spans="1:10" x14ac:dyDescent="0.25">
      <c r="A92" s="11"/>
      <c r="B92" s="17"/>
      <c r="C92" s="17"/>
      <c r="D92" s="17"/>
      <c r="E92" s="17"/>
      <c r="F92" s="25"/>
      <c r="G92" s="25">
        <f t="shared" si="4"/>
        <v>0</v>
      </c>
      <c r="H92" s="17"/>
      <c r="I92" s="17"/>
      <c r="J92" s="17"/>
    </row>
    <row r="93" spans="1:10" x14ac:dyDescent="0.25">
      <c r="A93" s="11"/>
      <c r="B93" s="17"/>
      <c r="C93" s="17"/>
      <c r="D93" s="17"/>
      <c r="E93" s="17"/>
      <c r="F93" s="25"/>
      <c r="G93" s="25">
        <f t="shared" si="4"/>
        <v>0</v>
      </c>
      <c r="H93" s="17"/>
      <c r="I93" s="17"/>
      <c r="J93" s="17"/>
    </row>
    <row r="94" spans="1:10" x14ac:dyDescent="0.25">
      <c r="A94" s="11"/>
      <c r="B94" s="17"/>
      <c r="C94" s="17"/>
      <c r="D94" s="17"/>
      <c r="E94" s="17"/>
      <c r="F94" s="25"/>
      <c r="G94" s="25">
        <f t="shared" si="4"/>
        <v>0</v>
      </c>
      <c r="H94" s="17"/>
      <c r="I94" s="17"/>
      <c r="J94" s="17"/>
    </row>
    <row r="95" spans="1:10" x14ac:dyDescent="0.25">
      <c r="A95" s="11"/>
      <c r="B95" s="17"/>
      <c r="C95" s="17"/>
      <c r="D95" s="17"/>
      <c r="E95" s="17"/>
      <c r="F95" s="25"/>
      <c r="G95" s="25">
        <f t="shared" si="4"/>
        <v>0</v>
      </c>
      <c r="H95" s="17"/>
      <c r="I95" s="17"/>
      <c r="J95" s="17"/>
    </row>
    <row r="96" spans="1:10" x14ac:dyDescent="0.25">
      <c r="A96" s="11"/>
      <c r="B96" s="17"/>
      <c r="C96" s="17"/>
      <c r="D96" s="17"/>
      <c r="E96" s="17"/>
      <c r="F96" s="25"/>
      <c r="G96" s="25">
        <f t="shared" si="4"/>
        <v>0</v>
      </c>
      <c r="H96" s="17"/>
      <c r="I96" s="17"/>
      <c r="J96" s="17"/>
    </row>
    <row r="97" spans="1:10" x14ac:dyDescent="0.25">
      <c r="A97" s="11"/>
      <c r="B97" s="17"/>
      <c r="C97" s="17"/>
      <c r="D97" s="17"/>
      <c r="E97" s="17"/>
      <c r="F97" s="25"/>
      <c r="G97" s="25">
        <f t="shared" si="4"/>
        <v>0</v>
      </c>
      <c r="H97" s="17"/>
      <c r="I97" s="17"/>
      <c r="J97" s="17"/>
    </row>
    <row r="98" spans="1:10" x14ac:dyDescent="0.25">
      <c r="A98" s="11"/>
      <c r="B98" s="17"/>
      <c r="C98" s="17"/>
      <c r="D98" s="17"/>
      <c r="E98" s="17"/>
      <c r="F98" s="25"/>
      <c r="G98" s="25">
        <f t="shared" si="4"/>
        <v>0</v>
      </c>
      <c r="H98" s="17"/>
      <c r="I98" s="17"/>
      <c r="J98" s="17"/>
    </row>
    <row r="99" spans="1:10" x14ac:dyDescent="0.25">
      <c r="A99" s="11"/>
      <c r="B99" s="17"/>
      <c r="C99" s="17"/>
      <c r="D99" s="17"/>
      <c r="E99" s="17"/>
      <c r="F99" s="25"/>
      <c r="G99" s="25">
        <f t="shared" si="4"/>
        <v>0</v>
      </c>
      <c r="H99" s="17"/>
      <c r="I99" s="17"/>
      <c r="J99" s="17"/>
    </row>
    <row r="100" spans="1:10" x14ac:dyDescent="0.25">
      <c r="A100" s="11"/>
      <c r="B100" s="17"/>
      <c r="C100" s="17"/>
      <c r="D100" s="17"/>
      <c r="E100" s="17"/>
      <c r="F100" s="25"/>
      <c r="G100" s="25">
        <f t="shared" si="4"/>
        <v>0</v>
      </c>
      <c r="H100" s="17"/>
      <c r="I100" s="17"/>
      <c r="J100" s="17"/>
    </row>
    <row r="101" spans="1:10" x14ac:dyDescent="0.25">
      <c r="A101" s="11"/>
      <c r="B101" s="17"/>
      <c r="C101" s="17"/>
      <c r="D101" s="17"/>
      <c r="E101" s="17"/>
      <c r="F101" s="25"/>
      <c r="G101" s="25">
        <f t="shared" si="4"/>
        <v>0</v>
      </c>
      <c r="H101" s="17"/>
      <c r="I101" s="17"/>
      <c r="J101" s="17"/>
    </row>
    <row r="102" spans="1:10" x14ac:dyDescent="0.25">
      <c r="A102" s="11"/>
      <c r="B102" s="17"/>
      <c r="C102" s="17"/>
      <c r="D102" s="17"/>
      <c r="E102" s="17"/>
      <c r="F102" s="25"/>
      <c r="G102" s="25">
        <f t="shared" si="4"/>
        <v>0</v>
      </c>
      <c r="H102" s="17"/>
      <c r="I102" s="17"/>
      <c r="J102" s="17"/>
    </row>
    <row r="103" spans="1:10" x14ac:dyDescent="0.25">
      <c r="A103" s="11"/>
      <c r="B103" s="17"/>
      <c r="C103" s="17"/>
      <c r="D103" s="17"/>
      <c r="E103" s="17"/>
      <c r="F103" s="25"/>
      <c r="G103" s="25">
        <f t="shared" si="4"/>
        <v>0</v>
      </c>
      <c r="H103" s="17"/>
      <c r="I103" s="17"/>
      <c r="J103" s="17"/>
    </row>
    <row r="104" spans="1:10" x14ac:dyDescent="0.25">
      <c r="A104" s="11"/>
      <c r="B104" s="17"/>
      <c r="C104" s="17"/>
      <c r="D104" s="17"/>
      <c r="E104" s="17"/>
      <c r="F104" s="25"/>
      <c r="G104" s="25">
        <f t="shared" si="4"/>
        <v>0</v>
      </c>
      <c r="H104" s="17"/>
      <c r="I104" s="17"/>
      <c r="J104" s="17"/>
    </row>
    <row r="105" spans="1:10" x14ac:dyDescent="0.25">
      <c r="A105" s="11"/>
      <c r="B105" s="17"/>
      <c r="C105" s="17"/>
      <c r="D105" s="17"/>
      <c r="E105" s="17"/>
      <c r="F105" s="25"/>
      <c r="G105" s="25">
        <f t="shared" si="4"/>
        <v>0</v>
      </c>
      <c r="H105" s="17"/>
      <c r="I105" s="17"/>
      <c r="J105" s="17"/>
    </row>
    <row r="106" spans="1:10" x14ac:dyDescent="0.25">
      <c r="A106" s="11"/>
      <c r="B106" s="17"/>
      <c r="C106" s="17"/>
      <c r="D106" s="17"/>
      <c r="E106" s="17"/>
      <c r="F106" s="25"/>
      <c r="G106" s="25">
        <f t="shared" si="4"/>
        <v>0</v>
      </c>
      <c r="H106" s="17"/>
      <c r="I106" s="17"/>
      <c r="J106" s="17"/>
    </row>
    <row r="107" spans="1:10" x14ac:dyDescent="0.25">
      <c r="A107" s="11"/>
      <c r="B107" s="17"/>
      <c r="C107" s="17"/>
      <c r="D107" s="17"/>
      <c r="E107" s="17"/>
      <c r="F107" s="25"/>
      <c r="G107" s="25">
        <f t="shared" si="4"/>
        <v>0</v>
      </c>
      <c r="H107" s="17"/>
      <c r="I107" s="17"/>
      <c r="J107" s="17"/>
    </row>
    <row r="108" spans="1:10" x14ac:dyDescent="0.25">
      <c r="A108" s="11"/>
      <c r="B108" s="17"/>
      <c r="C108" s="17"/>
      <c r="D108" s="17"/>
      <c r="E108" s="17"/>
      <c r="F108" s="25"/>
      <c r="G108" s="25">
        <f t="shared" si="4"/>
        <v>0</v>
      </c>
      <c r="H108" s="17"/>
      <c r="I108" s="17"/>
      <c r="J108" s="17"/>
    </row>
    <row r="109" spans="1:10" x14ac:dyDescent="0.25">
      <c r="A109" s="11"/>
      <c r="B109" s="17"/>
      <c r="C109" s="17"/>
      <c r="D109" s="17"/>
      <c r="E109" s="17"/>
      <c r="F109" s="25"/>
      <c r="G109" s="25">
        <f t="shared" si="4"/>
        <v>0</v>
      </c>
      <c r="H109" s="17"/>
      <c r="I109" s="17"/>
      <c r="J109" s="17"/>
    </row>
    <row r="110" spans="1:10" x14ac:dyDescent="0.25">
      <c r="A110" s="11"/>
      <c r="B110" s="17"/>
      <c r="C110" s="17"/>
      <c r="D110" s="17"/>
      <c r="E110" s="17"/>
      <c r="F110" s="25"/>
      <c r="G110" s="25">
        <f t="shared" si="4"/>
        <v>0</v>
      </c>
      <c r="H110" s="17"/>
      <c r="I110" s="17"/>
      <c r="J110" s="17"/>
    </row>
    <row r="111" spans="1:10" x14ac:dyDescent="0.25">
      <c r="A111" s="11"/>
      <c r="B111" s="17"/>
      <c r="C111" s="17"/>
      <c r="D111" s="17"/>
      <c r="E111" s="17"/>
      <c r="F111" s="25"/>
      <c r="G111" s="25">
        <f t="shared" si="4"/>
        <v>0</v>
      </c>
      <c r="H111" s="17"/>
      <c r="I111" s="17"/>
      <c r="J111" s="17"/>
    </row>
    <row r="112" spans="1:10" x14ac:dyDescent="0.25">
      <c r="A112" s="11"/>
      <c r="B112" s="17"/>
      <c r="C112" s="17"/>
      <c r="D112" s="17"/>
      <c r="E112" s="17"/>
      <c r="F112" s="25"/>
      <c r="G112" s="25">
        <f t="shared" si="4"/>
        <v>0</v>
      </c>
      <c r="H112" s="17"/>
      <c r="I112" s="17"/>
      <c r="J112" s="17"/>
    </row>
    <row r="113" spans="1:10" x14ac:dyDescent="0.25">
      <c r="A113" s="11"/>
      <c r="B113" s="17"/>
      <c r="C113" s="17"/>
      <c r="D113" s="17"/>
      <c r="E113" s="17"/>
      <c r="F113" s="25"/>
      <c r="G113" s="25">
        <f t="shared" si="4"/>
        <v>0</v>
      </c>
      <c r="H113" s="17"/>
      <c r="I113" s="17"/>
      <c r="J113" s="17"/>
    </row>
    <row r="114" spans="1:10" x14ac:dyDescent="0.25">
      <c r="A114" s="11"/>
      <c r="B114" s="17"/>
      <c r="C114" s="17"/>
      <c r="D114" s="17"/>
      <c r="E114" s="17"/>
      <c r="F114" s="25"/>
      <c r="G114" s="25">
        <f t="shared" si="4"/>
        <v>0</v>
      </c>
      <c r="H114" s="17"/>
      <c r="I114" s="17"/>
      <c r="J114" s="17"/>
    </row>
    <row r="115" spans="1:10" x14ac:dyDescent="0.25">
      <c r="A115" s="11"/>
      <c r="B115" s="17"/>
      <c r="C115" s="17"/>
      <c r="D115" s="17"/>
      <c r="E115" s="17"/>
      <c r="F115" s="25"/>
      <c r="G115" s="25">
        <f t="shared" si="4"/>
        <v>0</v>
      </c>
      <c r="H115" s="17"/>
      <c r="I115" s="17"/>
      <c r="J115" s="17"/>
    </row>
    <row r="116" spans="1:10" x14ac:dyDescent="0.25">
      <c r="A116" s="11"/>
      <c r="B116" s="17"/>
      <c r="C116" s="17"/>
      <c r="D116" s="17"/>
      <c r="E116" s="17"/>
      <c r="F116" s="25"/>
      <c r="G116" s="25">
        <f t="shared" si="4"/>
        <v>0</v>
      </c>
      <c r="H116" s="17"/>
      <c r="I116" s="17"/>
      <c r="J116" s="17"/>
    </row>
    <row r="117" spans="1:10" x14ac:dyDescent="0.25">
      <c r="A117" s="11"/>
      <c r="B117" s="17"/>
      <c r="C117" s="17"/>
      <c r="D117" s="17"/>
      <c r="E117" s="17"/>
      <c r="F117" s="25"/>
      <c r="G117" s="25">
        <f t="shared" si="4"/>
        <v>0</v>
      </c>
      <c r="H117" s="17"/>
      <c r="I117" s="17"/>
      <c r="J117" s="17"/>
    </row>
    <row r="118" spans="1:10" x14ac:dyDescent="0.25">
      <c r="A118" s="11"/>
      <c r="B118" s="17"/>
      <c r="C118" s="17"/>
      <c r="D118" s="17"/>
      <c r="E118" s="17"/>
      <c r="F118" s="25"/>
      <c r="G118" s="25">
        <f t="shared" si="4"/>
        <v>0</v>
      </c>
      <c r="H118" s="17"/>
      <c r="I118" s="17"/>
      <c r="J118" s="17"/>
    </row>
    <row r="119" spans="1:10" x14ac:dyDescent="0.25">
      <c r="A119" s="11"/>
      <c r="B119" s="17"/>
      <c r="C119" s="17"/>
      <c r="D119" s="17"/>
      <c r="E119" s="17"/>
      <c r="F119" s="25"/>
      <c r="G119" s="25">
        <f t="shared" si="4"/>
        <v>0</v>
      </c>
      <c r="H119" s="17"/>
      <c r="I119" s="17"/>
      <c r="J119" s="17"/>
    </row>
    <row r="120" spans="1:10" x14ac:dyDescent="0.25">
      <c r="A120" s="11"/>
      <c r="B120" s="17"/>
      <c r="C120" s="17"/>
      <c r="D120" s="17"/>
      <c r="E120" s="17"/>
      <c r="F120" s="25"/>
      <c r="G120" s="25">
        <f t="shared" si="4"/>
        <v>0</v>
      </c>
      <c r="H120" s="17"/>
      <c r="I120" s="17"/>
      <c r="J120" s="17"/>
    </row>
    <row r="121" spans="1:10" x14ac:dyDescent="0.25">
      <c r="A121" s="11"/>
      <c r="B121" s="17"/>
      <c r="C121" s="17"/>
      <c r="D121" s="17"/>
      <c r="E121" s="17"/>
      <c r="F121" s="25"/>
      <c r="G121" s="25">
        <f t="shared" si="4"/>
        <v>0</v>
      </c>
      <c r="H121" s="17"/>
      <c r="I121" s="17"/>
      <c r="J121" s="17"/>
    </row>
    <row r="122" spans="1:10" x14ac:dyDescent="0.25">
      <c r="A122" s="11"/>
      <c r="B122" s="17"/>
      <c r="C122" s="17"/>
      <c r="D122" s="17"/>
      <c r="E122" s="17"/>
      <c r="F122" s="25"/>
      <c r="G122" s="25">
        <f t="shared" si="4"/>
        <v>0</v>
      </c>
      <c r="H122" s="17"/>
      <c r="I122" s="17"/>
      <c r="J122" s="17"/>
    </row>
    <row r="123" spans="1:10" x14ac:dyDescent="0.25">
      <c r="A123" s="11"/>
      <c r="B123" s="17"/>
      <c r="C123" s="17"/>
      <c r="D123" s="17"/>
      <c r="E123" s="17"/>
      <c r="F123" s="25"/>
      <c r="G123" s="25">
        <f t="shared" si="4"/>
        <v>0</v>
      </c>
      <c r="H123" s="17"/>
      <c r="I123" s="17"/>
      <c r="J123" s="17"/>
    </row>
    <row r="124" spans="1:10" x14ac:dyDescent="0.25">
      <c r="A124" s="11"/>
      <c r="B124" s="17"/>
      <c r="C124" s="17"/>
      <c r="D124" s="17"/>
      <c r="E124" s="17"/>
      <c r="F124" s="25"/>
      <c r="G124" s="25">
        <f t="shared" si="4"/>
        <v>0</v>
      </c>
      <c r="H124" s="17"/>
      <c r="I124" s="17"/>
      <c r="J124" s="17"/>
    </row>
    <row r="125" spans="1:10" x14ac:dyDescent="0.25">
      <c r="A125" s="11"/>
      <c r="B125" s="17"/>
      <c r="C125" s="17"/>
      <c r="D125" s="17"/>
      <c r="E125" s="17"/>
      <c r="F125" s="25"/>
      <c r="G125" s="25">
        <f t="shared" si="4"/>
        <v>0</v>
      </c>
      <c r="H125" s="17"/>
      <c r="I125" s="17"/>
      <c r="J125" s="17"/>
    </row>
    <row r="126" spans="1:10" x14ac:dyDescent="0.25">
      <c r="A126" s="11"/>
      <c r="B126" s="17"/>
      <c r="C126" s="17"/>
      <c r="D126" s="17"/>
      <c r="E126" s="17"/>
      <c r="F126" s="25"/>
      <c r="G126" s="25">
        <f t="shared" si="4"/>
        <v>0</v>
      </c>
      <c r="H126" s="17"/>
      <c r="I126" s="17"/>
      <c r="J126" s="17"/>
    </row>
    <row r="127" spans="1:10" x14ac:dyDescent="0.25">
      <c r="A127" s="11"/>
      <c r="B127" s="17"/>
      <c r="C127" s="17"/>
      <c r="D127" s="17"/>
      <c r="E127" s="17"/>
      <c r="F127" s="25"/>
      <c r="G127" s="25">
        <f t="shared" si="4"/>
        <v>0</v>
      </c>
      <c r="H127" s="17"/>
      <c r="I127" s="17"/>
      <c r="J127" s="17"/>
    </row>
    <row r="128" spans="1:10" x14ac:dyDescent="0.25">
      <c r="A128" s="11"/>
      <c r="B128" s="17"/>
      <c r="C128" s="17"/>
      <c r="D128" s="17"/>
      <c r="E128" s="17"/>
      <c r="F128" s="25"/>
      <c r="G128" s="25">
        <f t="shared" si="4"/>
        <v>0</v>
      </c>
      <c r="H128" s="17"/>
      <c r="I128" s="17"/>
      <c r="J128" s="17"/>
    </row>
    <row r="129" spans="1:10" x14ac:dyDescent="0.25">
      <c r="A129" s="11"/>
      <c r="B129" s="17"/>
      <c r="C129" s="17"/>
      <c r="D129" s="17"/>
      <c r="E129" s="17"/>
      <c r="F129" s="25"/>
      <c r="G129" s="25">
        <f t="shared" si="4"/>
        <v>0</v>
      </c>
      <c r="H129" s="17"/>
      <c r="I129" s="17"/>
      <c r="J129" s="17"/>
    </row>
    <row r="130" spans="1:10" x14ac:dyDescent="0.25">
      <c r="A130" s="11"/>
      <c r="B130" s="17"/>
      <c r="C130" s="17"/>
      <c r="D130" s="17"/>
      <c r="E130" s="17"/>
      <c r="F130" s="25"/>
      <c r="G130" s="25">
        <f t="shared" si="4"/>
        <v>0</v>
      </c>
      <c r="H130" s="17"/>
      <c r="I130" s="17"/>
      <c r="J130" s="17"/>
    </row>
    <row r="131" spans="1:10" x14ac:dyDescent="0.25">
      <c r="A131" s="11"/>
      <c r="B131" s="17"/>
      <c r="C131" s="17"/>
      <c r="D131" s="17"/>
      <c r="E131" s="17"/>
      <c r="F131" s="25"/>
      <c r="G131" s="25">
        <f t="shared" si="4"/>
        <v>0</v>
      </c>
      <c r="H131" s="17"/>
      <c r="I131" s="17"/>
      <c r="J131" s="17"/>
    </row>
    <row r="132" spans="1:10" x14ac:dyDescent="0.25">
      <c r="A132" s="11"/>
      <c r="B132" s="17"/>
      <c r="C132" s="17"/>
      <c r="D132" s="17"/>
      <c r="E132" s="17"/>
      <c r="F132" s="25"/>
      <c r="G132" s="25">
        <f t="shared" si="4"/>
        <v>0</v>
      </c>
      <c r="H132" s="17"/>
      <c r="I132" s="17"/>
      <c r="J132" s="17"/>
    </row>
    <row r="133" spans="1:10" x14ac:dyDescent="0.25">
      <c r="A133" s="11"/>
      <c r="B133" s="17"/>
      <c r="C133" s="17"/>
      <c r="D133" s="17"/>
      <c r="E133" s="17"/>
      <c r="F133" s="25"/>
      <c r="G133" s="25">
        <f t="shared" si="4"/>
        <v>0</v>
      </c>
      <c r="H133" s="17"/>
      <c r="I133" s="17"/>
      <c r="J133" s="17"/>
    </row>
    <row r="134" spans="1:10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1:10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1:10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1:10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1:10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</row>
    <row r="140" spans="1:10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</row>
    <row r="141" spans="1:10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</row>
    <row r="142" spans="1:10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</row>
    <row r="143" spans="1:10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</row>
    <row r="144" spans="1:10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</row>
    <row r="145" spans="1:10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</row>
    <row r="146" spans="1:10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1:10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</row>
    <row r="148" spans="1:10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</row>
    <row r="149" spans="1:10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</row>
    <row r="151" spans="1:10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</row>
    <row r="152" spans="1:10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</row>
    <row r="153" spans="1:10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</row>
    <row r="154" spans="1:10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</row>
    <row r="155" spans="1:10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</row>
    <row r="156" spans="1:10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</row>
    <row r="157" spans="1:10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</row>
    <row r="158" spans="1:10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</row>
    <row r="159" spans="1:10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1:10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</row>
    <row r="161" spans="1:10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</row>
    <row r="162" spans="1:10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1:10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</row>
    <row r="164" spans="1:10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</row>
    <row r="165" spans="1:10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</row>
    <row r="166" spans="1:10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</row>
    <row r="167" spans="1:10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</row>
    <row r="168" spans="1:10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spans="1:10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0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0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0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1:10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1:10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1:10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1:10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1:10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1:10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1:10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1:10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1:10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1:10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1:10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1:10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1:10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1:10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1:10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1:10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1:10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1:10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1:10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1:10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1:10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1:10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1:10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1:10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1:10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1:10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1:10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1:10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1:10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1:10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1:10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1:10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1:10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1:10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1:10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1:10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1:10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1:10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1:10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1:10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1:10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1:10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1:10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1:10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1:10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</row>
    <row r="225" spans="1:10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1:10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1:10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</row>
    <row r="228" spans="1:10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</row>
    <row r="229" spans="1:10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</row>
    <row r="230" spans="1:10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1:10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1:10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1:10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1:10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</row>
    <row r="236" spans="1:10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1:10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</row>
    <row r="238" spans="1:10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1:10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</row>
    <row r="240" spans="1:10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1:10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</row>
    <row r="242" spans="1:10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1:10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</row>
    <row r="244" spans="1:10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1:10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</row>
    <row r="246" spans="1:10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</row>
    <row r="247" spans="1:10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</row>
    <row r="248" spans="1:10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</row>
    <row r="249" spans="1:10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1:10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</row>
    <row r="251" spans="1:10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</row>
    <row r="252" spans="1:10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1:10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1:10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1:10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</row>
    <row r="257" spans="1:10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1:10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1:10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</row>
    <row r="260" spans="1:10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</row>
    <row r="261" spans="1:10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</row>
    <row r="262" spans="1:10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</row>
    <row r="263" spans="1:10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1:10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</row>
    <row r="265" spans="1:10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1:10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1:10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</row>
    <row r="268" spans="1:10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1:10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</row>
    <row r="270" spans="1:10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</row>
    <row r="271" spans="1:10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</row>
    <row r="272" spans="1:10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</row>
    <row r="273" spans="1:10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</row>
    <row r="274" spans="1:10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1:10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</row>
    <row r="277" spans="1:10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10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10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10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10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10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10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10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10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10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10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10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17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17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17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17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17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17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17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17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17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17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17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17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17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17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17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17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17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17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17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17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17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17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17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17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17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17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17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17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17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17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17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17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17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17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17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17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17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17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17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17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17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17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17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17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17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17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17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17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17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17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17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17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17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17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17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17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17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17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17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17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17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17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17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17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17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17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17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17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17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17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17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17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17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17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17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17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17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17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17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17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17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17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17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17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17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17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17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17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17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17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17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17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17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17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17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17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17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17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17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17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17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17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17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17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17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17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17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17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17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17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17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17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17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17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17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17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17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17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17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17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17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17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17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17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17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17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17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17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17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17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17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17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17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17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17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17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17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17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17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17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17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17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17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17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17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17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17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17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17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17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17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17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17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17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17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17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17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17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17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17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17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17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17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17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17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17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17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17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17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17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17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17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17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17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17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17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17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17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17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17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17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17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17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17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17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17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17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17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17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17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17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17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17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17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17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17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17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17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17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17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17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17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17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17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17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17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17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17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17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17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17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17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17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17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17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17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17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17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17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17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17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17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17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17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17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17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17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17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17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17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17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17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17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17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17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17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17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17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17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17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17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17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17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17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17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17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17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17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17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17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17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17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17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17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17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17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17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17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17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17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17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17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17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17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17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17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17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17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17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17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17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17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17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17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17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17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17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17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17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17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17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17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17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17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17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17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17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17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17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17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17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17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17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17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17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17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17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17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17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17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17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17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17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17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17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17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17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17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17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17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17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17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17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17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17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17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17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17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17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17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17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17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17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17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17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17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17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17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17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17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17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17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17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17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17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17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17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17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17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17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17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17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17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17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17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17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17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17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17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17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17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17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17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17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17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17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17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17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17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17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17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17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17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17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17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17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17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17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17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17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17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17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17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17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17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17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17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17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17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17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17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17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17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17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17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17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17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17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17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17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17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17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17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17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17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17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17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17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17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17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17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17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17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17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17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17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17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17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17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17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17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17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17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17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17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17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17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17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17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17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17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17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17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17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17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17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17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17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17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17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17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17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17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17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17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17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17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17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17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17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17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17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17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17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17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17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17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17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17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17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17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17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17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17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17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17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17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17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17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17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17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17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17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17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17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17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17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17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17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17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17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17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17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17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17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17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17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17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17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17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17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17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17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17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17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17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17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17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17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17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17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17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17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17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17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17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17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17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17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17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17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17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17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17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17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17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17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17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17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17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17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17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17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17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17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17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17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17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17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17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17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17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17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17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17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17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17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17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17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17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17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17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17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17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17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17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17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17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17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17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17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17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17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17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17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17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17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17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17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17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17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17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17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17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17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17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17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17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17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17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17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17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17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17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17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17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17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17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17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17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17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17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17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17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17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17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17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17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17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17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17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17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17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17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17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17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17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17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17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17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17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17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17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17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17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17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17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17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17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17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17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17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17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17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17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17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17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17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17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17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17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17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17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17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17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17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17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17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17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17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17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17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17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17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17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17"/>
      <c r="D994" s="17"/>
      <c r="E994" s="17"/>
      <c r="F994" s="17"/>
      <c r="G994" s="17"/>
      <c r="H994" s="17"/>
    </row>
    <row r="995" spans="1:9" x14ac:dyDescent="0.25">
      <c r="A995" s="17"/>
      <c r="B995" s="17"/>
      <c r="C995" s="17"/>
      <c r="D995" s="17"/>
      <c r="E995" s="17"/>
      <c r="F995" s="17"/>
      <c r="G995" s="17"/>
      <c r="H995" s="17"/>
    </row>
    <row r="996" spans="1:9" x14ac:dyDescent="0.25">
      <c r="A996" s="17"/>
      <c r="B996" s="17"/>
      <c r="C996" s="17"/>
      <c r="D996" s="17"/>
      <c r="E996" s="17"/>
      <c r="F996" s="17"/>
      <c r="G996" s="17"/>
      <c r="H996" s="17"/>
    </row>
    <row r="997" spans="1:9" x14ac:dyDescent="0.25">
      <c r="A997" s="17"/>
      <c r="B997" s="17"/>
      <c r="C997" s="17"/>
      <c r="D997" s="17"/>
      <c r="E997" s="17"/>
      <c r="F997" s="17"/>
      <c r="G997" s="17"/>
      <c r="H997" s="17"/>
    </row>
    <row r="998" spans="1:9" x14ac:dyDescent="0.25">
      <c r="A998" s="17"/>
      <c r="B998" s="17"/>
      <c r="C998" s="17"/>
      <c r="D998" s="17"/>
      <c r="E998" s="17"/>
      <c r="F998" s="17"/>
      <c r="G998" s="17"/>
      <c r="H998" s="17"/>
    </row>
    <row r="999" spans="1:9" x14ac:dyDescent="0.25">
      <c r="A999" s="17"/>
      <c r="B999" s="17"/>
      <c r="C999" s="17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17"/>
      <c r="D1000" s="17"/>
      <c r="E1000" s="17"/>
      <c r="F1000" s="17"/>
      <c r="G1000" s="17"/>
      <c r="H1000" s="17"/>
    </row>
  </sheetData>
  <conditionalFormatting sqref="G2:G133">
    <cfRule type="expression" dxfId="7" priority="1">
      <formula>G2&lt;0</formula>
    </cfRule>
    <cfRule type="expression" dxfId="6" priority="2">
      <formula>G2&gt;0</formula>
    </cfRule>
  </conditionalFormatting>
  <dataValidations count="1">
    <dataValidation type="list" allowBlank="1" showErrorMessage="1" sqref="C2:C1000" xr:uid="{00000000-0002-0000-0C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C00-000000000000}">
          <x14:formula1>
            <xm:f>CATEGORIASCONFIGS!$E$2:$E$35</xm:f>
          </x14:formula1>
          <xm:sqref>E2:E133</xm:sqref>
        </x14:dataValidation>
        <x14:dataValidation type="list" allowBlank="1" showErrorMessage="1" xr:uid="{00000000-0002-0000-0C00-000002000000}">
          <x14:formula1>
            <xm:f>CATEGORIASCONFIGS!$C$2:$C$8</xm:f>
          </x14:formula1>
          <xm:sqref>D2:D133</xm:sqref>
        </x14:dataValidation>
        <x14:dataValidation type="list" allowBlank="1" showErrorMessage="1" xr:uid="{00000000-0002-0000-0C00-000003000000}">
          <x14:formula1>
            <xm:f>CATEGORIASCONFIGS!$A$2:$A$4</xm:f>
          </x14:formula1>
          <xm:sqref>B2:B133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8" max="8" width="17.6640625" customWidth="1"/>
    <col min="9" max="9" width="17.33203125" customWidth="1"/>
    <col min="10" max="10" width="8.21875" customWidth="1"/>
    <col min="11" max="12" width="19.77734375" customWidth="1"/>
    <col min="13" max="13" width="10.6640625" customWidth="1"/>
    <col min="15" max="15" width="11.44140625" customWidth="1"/>
    <col min="16" max="16" width="13.33203125" customWidth="1"/>
    <col min="17" max="17" width="10.88671875" customWidth="1"/>
    <col min="18" max="18" width="10.109375" customWidth="1"/>
    <col min="19" max="19" width="10.6640625" customWidth="1"/>
  </cols>
  <sheetData>
    <row r="1" spans="1:39" x14ac:dyDescent="0.25">
      <c r="A1" s="14" t="s">
        <v>156</v>
      </c>
      <c r="B1" s="14" t="s">
        <v>9</v>
      </c>
      <c r="C1" s="45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5" t="s">
        <v>875</v>
      </c>
      <c r="J1" s="5" t="s">
        <v>6</v>
      </c>
      <c r="K1" s="14"/>
      <c r="L1" s="14" t="s">
        <v>160</v>
      </c>
      <c r="M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39">
        <v>46296.928437499999</v>
      </c>
      <c r="B2" s="17" t="s">
        <v>165</v>
      </c>
      <c r="C2" s="30" t="s">
        <v>733</v>
      </c>
      <c r="D2" s="17" t="s">
        <v>737</v>
      </c>
      <c r="E2" s="17" t="s">
        <v>147</v>
      </c>
      <c r="F2" s="25">
        <v>24.91</v>
      </c>
      <c r="G2" s="25">
        <f>IF(B2="Saída", -ABS(F2), ABS(F2))</f>
        <v>-24.91</v>
      </c>
      <c r="H2" s="17" t="s">
        <v>896</v>
      </c>
      <c r="I2" s="17"/>
      <c r="J2" s="17"/>
      <c r="K2" s="17"/>
      <c r="L2" s="17" t="s">
        <v>162</v>
      </c>
      <c r="M2" s="25">
        <f>SUMIF(B:B,"Entrada",G:G)</f>
        <v>10941.95</v>
      </c>
      <c r="AL2" t="s">
        <v>1005</v>
      </c>
      <c r="AM2">
        <f>SUMIFS($F:$F,$X:$X,"Entrada",$Y:$Y,"Receita")+SUMIFS($F:$F,$B:$B,"Entrada",$X:$X,"")</f>
        <v>10941.95</v>
      </c>
    </row>
    <row r="3" spans="1:39" x14ac:dyDescent="0.25">
      <c r="A3" s="39">
        <v>46296.701967592591</v>
      </c>
      <c r="B3" s="17" t="s">
        <v>165</v>
      </c>
      <c r="C3" s="30" t="s">
        <v>733</v>
      </c>
      <c r="D3" s="17" t="s">
        <v>737</v>
      </c>
      <c r="E3" s="17" t="s">
        <v>149</v>
      </c>
      <c r="F3" s="25">
        <v>215.13</v>
      </c>
      <c r="G3" s="25">
        <f>IF(B3="Saída",-ABS(F3),ABS(F3))</f>
        <v>-215.13</v>
      </c>
      <c r="H3" s="17" t="s">
        <v>889</v>
      </c>
      <c r="I3" s="17"/>
      <c r="J3" s="17"/>
      <c r="K3" s="17"/>
      <c r="L3" s="17" t="s">
        <v>164</v>
      </c>
      <c r="M3" s="25">
        <f>SUMIF(B:B,"Saída",G:G)</f>
        <v>-9037.1899999999987</v>
      </c>
      <c r="AL3" t="s">
        <v>1006</v>
      </c>
      <c r="AM3">
        <f>SUMIFS($F:$F,$X:$X,"Saída",$Y:$Y,"Despesa")+SUMIFS($F:$F,$B:$B,"Saída",$X:$X,"",$D:$D,"&lt;&gt;Investimentos",$D:$D,"&lt;&gt;Sonhos")</f>
        <v>7487.1899999999987</v>
      </c>
    </row>
    <row r="4" spans="1:39" x14ac:dyDescent="0.25">
      <c r="A4" s="39">
        <v>46296.920671296299</v>
      </c>
      <c r="B4" s="17" t="s">
        <v>165</v>
      </c>
      <c r="C4" s="17" t="s">
        <v>166</v>
      </c>
      <c r="D4" s="17" t="s">
        <v>113</v>
      </c>
      <c r="E4" s="17" t="s">
        <v>129</v>
      </c>
      <c r="F4" s="25">
        <v>24.9</v>
      </c>
      <c r="G4" s="25">
        <f t="shared" ref="G4:G258" si="0">IF(B4="Saída", -ABS(F4), ABS(F4))</f>
        <v>-24.9</v>
      </c>
      <c r="H4" s="17" t="s">
        <v>753</v>
      </c>
      <c r="I4" s="17"/>
      <c r="J4" s="17"/>
      <c r="K4" s="17"/>
      <c r="L4" s="17" t="s">
        <v>224</v>
      </c>
      <c r="M4" s="25">
        <f>M2 + M3</f>
        <v>1904.760000000002</v>
      </c>
      <c r="AL4" t="s">
        <v>1007</v>
      </c>
      <c r="AM4">
        <f>SUMIFS($F:$F,$X:$X,"Saída",$Y:$Y,"Despesa",$AB:$AB,"Essencial")+SUMIFS($F:$F,$B:$B,"Saída",$X:$X,"",$D:$D,"Essencial")</f>
        <v>5419.4</v>
      </c>
    </row>
    <row r="5" spans="1:39" x14ac:dyDescent="0.25">
      <c r="A5" s="39">
        <v>46296.920671296299</v>
      </c>
      <c r="B5" s="17" t="s">
        <v>165</v>
      </c>
      <c r="C5" s="17"/>
      <c r="D5" s="17" t="s">
        <v>113</v>
      </c>
      <c r="E5" s="17" t="s">
        <v>147</v>
      </c>
      <c r="F5" s="25">
        <v>399.9</v>
      </c>
      <c r="G5" s="25">
        <f t="shared" si="0"/>
        <v>-399.9</v>
      </c>
      <c r="H5" s="17" t="s">
        <v>755</v>
      </c>
      <c r="I5" s="17"/>
      <c r="J5" s="17"/>
      <c r="AL5" t="s">
        <v>1008</v>
      </c>
      <c r="AM5">
        <f>SUMIFS($F:$F,$X:$X,"Saída",$Y:$Y,"Despesa",$AB:$AB,"Não essencial")+SUMIFS($F:$F,$B:$B,"Saída",$X:$X,"",$D:$D,"Não essencial")</f>
        <v>2067.79</v>
      </c>
    </row>
    <row r="6" spans="1:39" x14ac:dyDescent="0.25">
      <c r="A6" s="39">
        <v>46296.920671296299</v>
      </c>
      <c r="B6" s="17" t="s">
        <v>165</v>
      </c>
      <c r="C6" s="17"/>
      <c r="D6" s="17" t="s">
        <v>113</v>
      </c>
      <c r="E6" s="17" t="s">
        <v>124</v>
      </c>
      <c r="F6" s="25">
        <v>294.32</v>
      </c>
      <c r="G6" s="25">
        <f t="shared" si="0"/>
        <v>-294.32</v>
      </c>
      <c r="H6" s="17" t="s">
        <v>757</v>
      </c>
      <c r="I6" s="17"/>
      <c r="J6" s="17"/>
      <c r="AL6" t="s">
        <v>120</v>
      </c>
      <c r="AM6">
        <f>SUMIFS($F:$F,$X:$X,"Saída",$Y:$Y,"Investimento")+SUMIFS($F:$F,$B:$B,"Saída",$X:$X,"",$D:$D,"Investimentos")</f>
        <v>1550</v>
      </c>
    </row>
    <row r="7" spans="1:39" x14ac:dyDescent="0.25">
      <c r="A7" s="39">
        <v>46296.920671296299</v>
      </c>
      <c r="B7" s="17" t="s">
        <v>165</v>
      </c>
      <c r="C7" s="17"/>
      <c r="D7" s="17" t="s">
        <v>113</v>
      </c>
      <c r="E7" s="17" t="s">
        <v>124</v>
      </c>
      <c r="F7" s="25">
        <v>1500</v>
      </c>
      <c r="G7" s="25">
        <f t="shared" si="0"/>
        <v>-1500</v>
      </c>
      <c r="H7" s="17" t="s">
        <v>759</v>
      </c>
      <c r="I7" s="17"/>
      <c r="J7" s="14"/>
      <c r="K7" s="14"/>
      <c r="L7" s="14" t="s">
        <v>172</v>
      </c>
      <c r="M7" s="14" t="s">
        <v>173</v>
      </c>
      <c r="O7" s="14" t="s">
        <v>172</v>
      </c>
      <c r="P7" s="14" t="s">
        <v>174</v>
      </c>
      <c r="Q7" s="14" t="s">
        <v>175</v>
      </c>
      <c r="R7" s="14" t="s">
        <v>173</v>
      </c>
      <c r="S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39">
        <v>46296.920671296299</v>
      </c>
      <c r="B8" s="17" t="s">
        <v>165</v>
      </c>
      <c r="C8" s="17"/>
      <c r="D8" s="17" t="s">
        <v>113</v>
      </c>
      <c r="E8" s="17" t="s">
        <v>147</v>
      </c>
      <c r="F8" s="25">
        <v>836.2</v>
      </c>
      <c r="G8" s="25">
        <f t="shared" si="0"/>
        <v>-836.2</v>
      </c>
      <c r="H8" s="17" t="s">
        <v>761</v>
      </c>
      <c r="I8" s="17"/>
      <c r="J8" s="17"/>
      <c r="K8" s="17"/>
      <c r="L8" s="17" t="s">
        <v>113</v>
      </c>
      <c r="M8" s="25">
        <f t="shared" ref="M8:M11" si="1">SUMIF($D:$D, L8, $F:$F)</f>
        <v>5419.4</v>
      </c>
      <c r="O8" s="17" t="s">
        <v>113</v>
      </c>
      <c r="P8" s="25">
        <f>M2*Q8</f>
        <v>4923.8775000000005</v>
      </c>
      <c r="Q8" s="31">
        <v>0.45</v>
      </c>
      <c r="R8" s="25">
        <f t="shared" ref="R8:R11" si="2">ABS(SUMIF(D:D, O8, F:F))</f>
        <v>5419.4</v>
      </c>
      <c r="S8" s="25">
        <f t="shared" ref="S8:S11" si="3">R8 - P8</f>
        <v>495.52249999999913</v>
      </c>
      <c r="AL8" t="s">
        <v>1010</v>
      </c>
      <c r="AM8">
        <f>SUMIFS($F:$F,$X:$X,"Entrada")-SUMIFS($F:$F,$X:$X,"Saída")+SUMIFS($F:$F,$B:$B,"Entrada",$X:$X,"")-SUMIFS($F:$F,$B:$B,"Saída",$X:$X,"")</f>
        <v>1904.760000000002</v>
      </c>
    </row>
    <row r="9" spans="1:39" x14ac:dyDescent="0.25">
      <c r="A9" s="39">
        <v>46296.920671296299</v>
      </c>
      <c r="B9" s="17" t="s">
        <v>165</v>
      </c>
      <c r="C9" s="17"/>
      <c r="D9" s="17" t="s">
        <v>113</v>
      </c>
      <c r="E9" s="17" t="s">
        <v>133</v>
      </c>
      <c r="F9" s="25">
        <v>1000</v>
      </c>
      <c r="G9" s="25">
        <f t="shared" si="0"/>
        <v>-1000</v>
      </c>
      <c r="H9" s="17" t="s">
        <v>763</v>
      </c>
      <c r="I9" s="17"/>
      <c r="J9" s="17"/>
      <c r="K9" s="17"/>
      <c r="L9" s="17" t="s">
        <v>117</v>
      </c>
      <c r="M9" s="25">
        <f t="shared" si="1"/>
        <v>2067.79</v>
      </c>
      <c r="O9" s="17" t="s">
        <v>117</v>
      </c>
      <c r="P9" s="25">
        <f>M2*Q9</f>
        <v>2188.3900000000003</v>
      </c>
      <c r="Q9" s="31">
        <v>0.2</v>
      </c>
      <c r="R9" s="25">
        <f t="shared" si="2"/>
        <v>2067.79</v>
      </c>
      <c r="S9" s="25">
        <f t="shared" si="3"/>
        <v>-120.60000000000036</v>
      </c>
    </row>
    <row r="10" spans="1:39" x14ac:dyDescent="0.25">
      <c r="A10" s="39">
        <v>46296.920671296299</v>
      </c>
      <c r="B10" s="17" t="s">
        <v>165</v>
      </c>
      <c r="C10" s="17"/>
      <c r="D10" s="17" t="s">
        <v>120</v>
      </c>
      <c r="E10" s="17" t="s">
        <v>127</v>
      </c>
      <c r="F10" s="25">
        <v>250</v>
      </c>
      <c r="G10" s="25">
        <f t="shared" si="0"/>
        <v>-250</v>
      </c>
      <c r="H10" s="17"/>
      <c r="I10" s="17"/>
      <c r="J10" s="17"/>
      <c r="K10" s="17"/>
      <c r="L10" s="17" t="s">
        <v>120</v>
      </c>
      <c r="M10" s="25">
        <f t="shared" si="1"/>
        <v>1550</v>
      </c>
      <c r="O10" s="17" t="s">
        <v>120</v>
      </c>
      <c r="P10" s="25">
        <f>M2*Q10</f>
        <v>3282.585</v>
      </c>
      <c r="Q10" s="31">
        <v>0.3</v>
      </c>
      <c r="R10" s="25">
        <f t="shared" si="2"/>
        <v>1550</v>
      </c>
      <c r="S10" s="25">
        <f t="shared" si="3"/>
        <v>-1732.585</v>
      </c>
    </row>
    <row r="11" spans="1:39" x14ac:dyDescent="0.25">
      <c r="A11" s="39">
        <v>46296.523414351854</v>
      </c>
      <c r="B11" s="17" t="s">
        <v>776</v>
      </c>
      <c r="C11" s="17" t="s">
        <v>166</v>
      </c>
      <c r="D11" s="17" t="s">
        <v>126</v>
      </c>
      <c r="E11" s="17"/>
      <c r="F11" s="16">
        <v>8362.6</v>
      </c>
      <c r="G11" s="25">
        <f t="shared" si="0"/>
        <v>8362.6</v>
      </c>
      <c r="H11" s="17" t="s">
        <v>882</v>
      </c>
      <c r="I11" s="17"/>
      <c r="J11" s="17"/>
      <c r="K11" s="17"/>
      <c r="L11" s="17" t="s">
        <v>123</v>
      </c>
      <c r="M11" s="25">
        <f t="shared" si="1"/>
        <v>0</v>
      </c>
      <c r="O11" s="17" t="s">
        <v>123</v>
      </c>
      <c r="P11" s="25">
        <f>M2*Q11</f>
        <v>547.09750000000008</v>
      </c>
      <c r="Q11" s="31">
        <v>0.05</v>
      </c>
      <c r="R11" s="25">
        <f t="shared" si="2"/>
        <v>0</v>
      </c>
      <c r="S11" s="25">
        <f t="shared" si="3"/>
        <v>-547.09750000000008</v>
      </c>
    </row>
    <row r="12" spans="1:39" x14ac:dyDescent="0.25">
      <c r="A12" s="39">
        <v>46296.523414351854</v>
      </c>
      <c r="B12" s="17" t="s">
        <v>116</v>
      </c>
      <c r="C12" s="30" t="s">
        <v>166</v>
      </c>
      <c r="D12" s="17" t="s">
        <v>113</v>
      </c>
      <c r="E12" s="17" t="s">
        <v>124</v>
      </c>
      <c r="F12" s="25">
        <v>80</v>
      </c>
      <c r="G12" s="25">
        <f t="shared" si="0"/>
        <v>-80</v>
      </c>
      <c r="H12" s="17" t="s">
        <v>921</v>
      </c>
      <c r="I12" s="17"/>
      <c r="J12" s="17"/>
    </row>
    <row r="13" spans="1:39" x14ac:dyDescent="0.25">
      <c r="A13" s="39">
        <v>46296.523414351854</v>
      </c>
      <c r="B13" s="17" t="s">
        <v>116</v>
      </c>
      <c r="C13" s="30" t="s">
        <v>166</v>
      </c>
      <c r="D13" s="17" t="s">
        <v>113</v>
      </c>
      <c r="E13" s="17" t="s">
        <v>147</v>
      </c>
      <c r="F13" s="25">
        <v>139</v>
      </c>
      <c r="G13" s="25">
        <f t="shared" si="0"/>
        <v>-139</v>
      </c>
      <c r="H13" s="17" t="s">
        <v>922</v>
      </c>
      <c r="I13" s="17"/>
      <c r="J13" s="17"/>
    </row>
    <row r="14" spans="1:39" x14ac:dyDescent="0.25">
      <c r="A14" s="39">
        <v>46296.523414351854</v>
      </c>
      <c r="B14" s="17" t="s">
        <v>116</v>
      </c>
      <c r="C14" s="30" t="s">
        <v>166</v>
      </c>
      <c r="D14" s="17" t="s">
        <v>120</v>
      </c>
      <c r="E14" s="17" t="s">
        <v>120</v>
      </c>
      <c r="F14" s="25">
        <v>1200</v>
      </c>
      <c r="G14" s="25">
        <f t="shared" si="0"/>
        <v>-1200</v>
      </c>
      <c r="H14" s="17" t="s">
        <v>923</v>
      </c>
      <c r="I14" s="17"/>
      <c r="J14" s="17"/>
    </row>
    <row r="15" spans="1:39" x14ac:dyDescent="0.25">
      <c r="A15" s="39">
        <v>46296.523414351854</v>
      </c>
      <c r="B15" s="17" t="s">
        <v>116</v>
      </c>
      <c r="C15" s="30" t="s">
        <v>166</v>
      </c>
      <c r="D15" s="17" t="s">
        <v>117</v>
      </c>
      <c r="E15" s="17" t="s">
        <v>147</v>
      </c>
      <c r="F15" s="25">
        <v>47.79</v>
      </c>
      <c r="G15" s="25">
        <f t="shared" si="0"/>
        <v>-47.79</v>
      </c>
      <c r="H15" s="17" t="s">
        <v>924</v>
      </c>
      <c r="I15" s="17"/>
      <c r="J15" s="17"/>
    </row>
    <row r="16" spans="1:39" x14ac:dyDescent="0.25">
      <c r="A16" s="39">
        <v>46296.523414351854</v>
      </c>
      <c r="B16" s="17" t="s">
        <v>116</v>
      </c>
      <c r="C16" s="30" t="s">
        <v>166</v>
      </c>
      <c r="D16" s="17" t="s">
        <v>117</v>
      </c>
      <c r="E16" s="17" t="s">
        <v>147</v>
      </c>
      <c r="F16" s="25">
        <v>49.27</v>
      </c>
      <c r="G16" s="25">
        <f t="shared" si="0"/>
        <v>-49.27</v>
      </c>
      <c r="H16" s="17" t="s">
        <v>925</v>
      </c>
      <c r="I16" s="17"/>
      <c r="J16" s="17"/>
    </row>
    <row r="17" spans="1:10" x14ac:dyDescent="0.25">
      <c r="A17" s="11">
        <v>46296.632779583335</v>
      </c>
      <c r="B17" s="17" t="s">
        <v>165</v>
      </c>
      <c r="C17" s="30" t="s">
        <v>166</v>
      </c>
      <c r="D17" s="17" t="s">
        <v>737</v>
      </c>
      <c r="E17" s="17" t="s">
        <v>139</v>
      </c>
      <c r="F17" s="25">
        <v>20.99</v>
      </c>
      <c r="G17" s="25">
        <f t="shared" si="0"/>
        <v>-20.99</v>
      </c>
      <c r="H17" s="17" t="s">
        <v>926</v>
      </c>
      <c r="I17" s="17"/>
      <c r="J17" s="17"/>
    </row>
    <row r="18" spans="1:10" x14ac:dyDescent="0.25">
      <c r="A18" s="39">
        <v>46297.632777777777</v>
      </c>
      <c r="B18" s="17" t="s">
        <v>165</v>
      </c>
      <c r="C18" s="30" t="s">
        <v>166</v>
      </c>
      <c r="D18" s="17" t="s">
        <v>113</v>
      </c>
      <c r="E18" s="17" t="s">
        <v>137</v>
      </c>
      <c r="F18" s="25">
        <v>118.16</v>
      </c>
      <c r="G18" s="25">
        <f t="shared" si="0"/>
        <v>-118.16</v>
      </c>
      <c r="H18" s="17" t="s">
        <v>831</v>
      </c>
      <c r="I18" s="17"/>
      <c r="J18" s="17"/>
    </row>
    <row r="19" spans="1:10" x14ac:dyDescent="0.25">
      <c r="A19" s="39">
        <v>46297.632777777777</v>
      </c>
      <c r="B19" s="17" t="s">
        <v>165</v>
      </c>
      <c r="C19" s="30" t="s">
        <v>166</v>
      </c>
      <c r="D19" s="17" t="s">
        <v>737</v>
      </c>
      <c r="E19" s="17" t="s">
        <v>150</v>
      </c>
      <c r="F19" s="25">
        <v>195.44</v>
      </c>
      <c r="G19" s="25">
        <f t="shared" si="0"/>
        <v>-195.44</v>
      </c>
      <c r="H19" s="17" t="s">
        <v>927</v>
      </c>
      <c r="I19" s="17"/>
      <c r="J19" s="17"/>
    </row>
    <row r="20" spans="1:10" x14ac:dyDescent="0.25">
      <c r="A20" s="39">
        <v>46297.632777777777</v>
      </c>
      <c r="B20" s="17" t="s">
        <v>165</v>
      </c>
      <c r="C20" s="30" t="s">
        <v>166</v>
      </c>
      <c r="D20" s="17" t="s">
        <v>113</v>
      </c>
      <c r="E20" s="17" t="s">
        <v>121</v>
      </c>
      <c r="F20" s="25">
        <v>35</v>
      </c>
      <c r="G20" s="25">
        <f t="shared" si="0"/>
        <v>-35</v>
      </c>
      <c r="H20" s="17" t="s">
        <v>121</v>
      </c>
      <c r="I20" s="17"/>
      <c r="J20" s="17"/>
    </row>
    <row r="21" spans="1:10" x14ac:dyDescent="0.25">
      <c r="A21" s="39">
        <v>46298.632777777777</v>
      </c>
      <c r="B21" s="17" t="s">
        <v>165</v>
      </c>
      <c r="C21" s="30" t="s">
        <v>166</v>
      </c>
      <c r="D21" s="17" t="s">
        <v>737</v>
      </c>
      <c r="E21" s="17" t="s">
        <v>139</v>
      </c>
      <c r="F21" s="25">
        <v>28.8</v>
      </c>
      <c r="G21" s="25">
        <f t="shared" si="0"/>
        <v>-28.8</v>
      </c>
      <c r="H21" s="17" t="s">
        <v>928</v>
      </c>
      <c r="I21" s="17"/>
      <c r="J21" s="17"/>
    </row>
    <row r="22" spans="1:10" x14ac:dyDescent="0.25">
      <c r="A22" s="39">
        <v>46298.632777777777</v>
      </c>
      <c r="B22" s="17" t="s">
        <v>165</v>
      </c>
      <c r="C22" s="30" t="s">
        <v>166</v>
      </c>
      <c r="D22" s="17" t="s">
        <v>737</v>
      </c>
      <c r="E22" s="17" t="s">
        <v>152</v>
      </c>
      <c r="F22" s="25">
        <v>80.010000000000005</v>
      </c>
      <c r="G22" s="25">
        <f t="shared" si="0"/>
        <v>-80.010000000000005</v>
      </c>
      <c r="H22" s="17" t="s">
        <v>929</v>
      </c>
      <c r="I22" s="17"/>
      <c r="J22" s="17"/>
    </row>
    <row r="23" spans="1:10" x14ac:dyDescent="0.25">
      <c r="A23" s="39">
        <v>46300.632777777777</v>
      </c>
      <c r="B23" s="17" t="s">
        <v>165</v>
      </c>
      <c r="C23" s="30" t="s">
        <v>166</v>
      </c>
      <c r="D23" s="17" t="s">
        <v>113</v>
      </c>
      <c r="E23" s="17" t="s">
        <v>147</v>
      </c>
      <c r="F23" s="25">
        <v>100</v>
      </c>
      <c r="G23" s="25">
        <f t="shared" si="0"/>
        <v>-100</v>
      </c>
      <c r="H23" s="17" t="s">
        <v>930</v>
      </c>
      <c r="I23" s="17"/>
      <c r="J23" s="17"/>
    </row>
    <row r="24" spans="1:10" x14ac:dyDescent="0.25">
      <c r="A24" s="11">
        <v>46301.831098449074</v>
      </c>
      <c r="B24" s="17" t="s">
        <v>165</v>
      </c>
      <c r="C24" s="30" t="s">
        <v>166</v>
      </c>
      <c r="D24" s="17" t="s">
        <v>113</v>
      </c>
      <c r="E24" s="17" t="s">
        <v>114</v>
      </c>
      <c r="F24" s="25">
        <v>49.9</v>
      </c>
      <c r="G24" s="25">
        <f t="shared" si="0"/>
        <v>-49.9</v>
      </c>
      <c r="H24" s="17"/>
      <c r="I24" s="17"/>
      <c r="J24" s="17"/>
    </row>
    <row r="25" spans="1:10" x14ac:dyDescent="0.25">
      <c r="A25" s="11">
        <v>46302.563154895834</v>
      </c>
      <c r="B25" s="17" t="s">
        <v>165</v>
      </c>
      <c r="C25" s="30" t="s">
        <v>166</v>
      </c>
      <c r="D25" s="17" t="s">
        <v>737</v>
      </c>
      <c r="E25" s="17" t="s">
        <v>149</v>
      </c>
      <c r="F25" s="25">
        <v>46.99</v>
      </c>
      <c r="G25" s="25">
        <f t="shared" si="0"/>
        <v>-46.99</v>
      </c>
      <c r="H25" s="17" t="s">
        <v>931</v>
      </c>
      <c r="I25" s="17"/>
      <c r="J25" s="17"/>
    </row>
    <row r="26" spans="1:10" x14ac:dyDescent="0.25">
      <c r="A26" s="11">
        <v>46303.588730567135</v>
      </c>
      <c r="B26" s="17" t="s">
        <v>165</v>
      </c>
      <c r="C26" s="30" t="s">
        <v>166</v>
      </c>
      <c r="D26" s="17" t="s">
        <v>737</v>
      </c>
      <c r="E26" s="17" t="s">
        <v>139</v>
      </c>
      <c r="F26" s="25">
        <v>61.69</v>
      </c>
      <c r="G26" s="25">
        <f t="shared" si="0"/>
        <v>-61.69</v>
      </c>
      <c r="H26" s="17" t="s">
        <v>932</v>
      </c>
      <c r="I26" s="17"/>
      <c r="J26" s="17"/>
    </row>
    <row r="27" spans="1:10" x14ac:dyDescent="0.25">
      <c r="A27" s="11">
        <v>46303.589550949073</v>
      </c>
      <c r="B27" s="17" t="s">
        <v>165</v>
      </c>
      <c r="C27" s="30" t="s">
        <v>166</v>
      </c>
      <c r="D27" s="17" t="s">
        <v>737</v>
      </c>
      <c r="E27" s="17" t="s">
        <v>148</v>
      </c>
      <c r="F27" s="25">
        <v>9</v>
      </c>
      <c r="G27" s="25">
        <f t="shared" si="0"/>
        <v>-9</v>
      </c>
      <c r="H27" s="17" t="s">
        <v>933</v>
      </c>
      <c r="I27" s="17"/>
      <c r="J27" s="17"/>
    </row>
    <row r="28" spans="1:10" x14ac:dyDescent="0.25">
      <c r="A28" s="11">
        <v>46303.590086562501</v>
      </c>
      <c r="B28" s="17" t="s">
        <v>165</v>
      </c>
      <c r="C28" s="30" t="s">
        <v>166</v>
      </c>
      <c r="D28" s="17" t="s">
        <v>737</v>
      </c>
      <c r="E28" s="17" t="s">
        <v>150</v>
      </c>
      <c r="F28" s="25">
        <v>22</v>
      </c>
      <c r="G28" s="25">
        <f t="shared" si="0"/>
        <v>-22</v>
      </c>
      <c r="H28" s="17" t="s">
        <v>815</v>
      </c>
      <c r="I28" s="17"/>
      <c r="J28" s="17"/>
    </row>
    <row r="29" spans="1:10" x14ac:dyDescent="0.25">
      <c r="A29" s="11">
        <v>46304.506339571759</v>
      </c>
      <c r="B29" s="17" t="s">
        <v>165</v>
      </c>
      <c r="C29" s="30" t="s">
        <v>166</v>
      </c>
      <c r="D29" s="17" t="s">
        <v>113</v>
      </c>
      <c r="E29" s="17" t="s">
        <v>137</v>
      </c>
      <c r="F29" s="25">
        <v>135.6</v>
      </c>
      <c r="G29" s="25">
        <f t="shared" si="0"/>
        <v>-135.6</v>
      </c>
      <c r="H29" s="17" t="s">
        <v>803</v>
      </c>
      <c r="I29" s="17"/>
      <c r="J29" s="17"/>
    </row>
    <row r="30" spans="1:10" x14ac:dyDescent="0.25">
      <c r="A30" s="11">
        <v>46306.641507673616</v>
      </c>
      <c r="B30" s="17" t="s">
        <v>165</v>
      </c>
      <c r="C30" s="30" t="s">
        <v>166</v>
      </c>
      <c r="D30" s="17" t="s">
        <v>737</v>
      </c>
      <c r="E30" s="17" t="s">
        <v>139</v>
      </c>
      <c r="F30" s="25">
        <v>68</v>
      </c>
      <c r="G30" s="25">
        <f t="shared" si="0"/>
        <v>-68</v>
      </c>
      <c r="H30" s="17" t="s">
        <v>934</v>
      </c>
      <c r="I30" s="17"/>
      <c r="J30" s="17"/>
    </row>
    <row r="31" spans="1:10" x14ac:dyDescent="0.25">
      <c r="A31" s="11">
        <v>46306.64249648148</v>
      </c>
      <c r="B31" s="17" t="s">
        <v>165</v>
      </c>
      <c r="C31" s="30" t="s">
        <v>166</v>
      </c>
      <c r="D31" s="17" t="s">
        <v>737</v>
      </c>
      <c r="E31" s="17" t="s">
        <v>139</v>
      </c>
      <c r="F31" s="25">
        <v>43.9</v>
      </c>
      <c r="G31" s="25">
        <f t="shared" si="0"/>
        <v>-43.9</v>
      </c>
      <c r="H31" s="17" t="s">
        <v>935</v>
      </c>
      <c r="I31" s="17"/>
      <c r="J31" s="17"/>
    </row>
    <row r="32" spans="1:10" x14ac:dyDescent="0.25">
      <c r="A32" s="11">
        <v>46306.896825578704</v>
      </c>
      <c r="B32" s="17" t="s">
        <v>165</v>
      </c>
      <c r="C32" s="30" t="s">
        <v>166</v>
      </c>
      <c r="D32" s="17" t="s">
        <v>737</v>
      </c>
      <c r="E32" s="17" t="s">
        <v>139</v>
      </c>
      <c r="F32" s="25">
        <v>47.99</v>
      </c>
      <c r="G32" s="25">
        <f t="shared" si="0"/>
        <v>-47.99</v>
      </c>
      <c r="H32" s="17"/>
      <c r="I32" s="17"/>
      <c r="J32" s="17"/>
    </row>
    <row r="33" spans="1:10" x14ac:dyDescent="0.25">
      <c r="A33" s="11">
        <v>46307.677881180556</v>
      </c>
      <c r="B33" s="17" t="s">
        <v>165</v>
      </c>
      <c r="C33" s="30" t="s">
        <v>166</v>
      </c>
      <c r="D33" s="17" t="s">
        <v>737</v>
      </c>
      <c r="E33" s="17" t="s">
        <v>150</v>
      </c>
      <c r="F33" s="25">
        <v>93.67</v>
      </c>
      <c r="G33" s="25">
        <f t="shared" si="0"/>
        <v>-93.67</v>
      </c>
      <c r="H33" s="17" t="s">
        <v>936</v>
      </c>
      <c r="I33" s="17"/>
      <c r="J33" s="17"/>
    </row>
    <row r="34" spans="1:10" x14ac:dyDescent="0.25">
      <c r="A34" s="11">
        <v>46307.713623703705</v>
      </c>
      <c r="B34" s="17" t="s">
        <v>165</v>
      </c>
      <c r="C34" s="30" t="s">
        <v>166</v>
      </c>
      <c r="D34" s="17" t="s">
        <v>737</v>
      </c>
      <c r="E34" s="17" t="s">
        <v>147</v>
      </c>
      <c r="F34" s="25">
        <v>109.44</v>
      </c>
      <c r="G34" s="25">
        <f t="shared" si="0"/>
        <v>-109.44</v>
      </c>
      <c r="H34" s="17" t="s">
        <v>937</v>
      </c>
      <c r="I34" s="17"/>
      <c r="J34" s="17"/>
    </row>
    <row r="35" spans="1:10" x14ac:dyDescent="0.25">
      <c r="A35" s="11">
        <v>46307.906686076385</v>
      </c>
      <c r="B35" s="17" t="s">
        <v>165</v>
      </c>
      <c r="C35" s="30" t="s">
        <v>166</v>
      </c>
      <c r="D35" s="17" t="s">
        <v>737</v>
      </c>
      <c r="E35" s="17" t="s">
        <v>139</v>
      </c>
      <c r="F35" s="25">
        <v>40</v>
      </c>
      <c r="G35" s="25">
        <f t="shared" si="0"/>
        <v>-40</v>
      </c>
      <c r="H35" s="17" t="s">
        <v>938</v>
      </c>
      <c r="I35" s="17"/>
      <c r="J35" s="17"/>
    </row>
    <row r="36" spans="1:10" x14ac:dyDescent="0.25">
      <c r="A36" s="11">
        <v>46307.998534652783</v>
      </c>
      <c r="B36" s="17" t="s">
        <v>165</v>
      </c>
      <c r="C36" s="30" t="s">
        <v>166</v>
      </c>
      <c r="D36" s="17" t="s">
        <v>737</v>
      </c>
      <c r="E36" s="17" t="s">
        <v>137</v>
      </c>
      <c r="F36" s="25">
        <v>35.5</v>
      </c>
      <c r="G36" s="25">
        <f t="shared" si="0"/>
        <v>-35.5</v>
      </c>
      <c r="H36" s="17" t="s">
        <v>939</v>
      </c>
      <c r="I36" s="17"/>
      <c r="J36" s="17"/>
    </row>
    <row r="37" spans="1:10" x14ac:dyDescent="0.25">
      <c r="A37" s="11">
        <v>46310.921493032409</v>
      </c>
      <c r="B37" s="17" t="s">
        <v>165</v>
      </c>
      <c r="C37" s="30" t="s">
        <v>166</v>
      </c>
      <c r="D37" s="17" t="s">
        <v>737</v>
      </c>
      <c r="E37" s="17" t="s">
        <v>139</v>
      </c>
      <c r="F37" s="25">
        <v>151</v>
      </c>
      <c r="G37" s="25">
        <f t="shared" si="0"/>
        <v>-151</v>
      </c>
      <c r="H37" s="17" t="s">
        <v>940</v>
      </c>
      <c r="I37" s="17"/>
      <c r="J37" s="17"/>
    </row>
    <row r="38" spans="1:10" x14ac:dyDescent="0.25">
      <c r="A38" s="11">
        <v>46313.295841782412</v>
      </c>
      <c r="B38" s="17" t="s">
        <v>165</v>
      </c>
      <c r="C38" s="30" t="s">
        <v>166</v>
      </c>
      <c r="D38" s="17" t="s">
        <v>737</v>
      </c>
      <c r="E38" s="17" t="s">
        <v>139</v>
      </c>
      <c r="F38" s="25">
        <v>73.099999999999994</v>
      </c>
      <c r="G38" s="25">
        <f t="shared" si="0"/>
        <v>-73.099999999999994</v>
      </c>
      <c r="H38" s="17" t="s">
        <v>941</v>
      </c>
      <c r="I38" s="17"/>
      <c r="J38" s="17"/>
    </row>
    <row r="39" spans="1:10" x14ac:dyDescent="0.25">
      <c r="A39" s="11">
        <v>46313.296864282413</v>
      </c>
      <c r="B39" s="17" t="s">
        <v>165</v>
      </c>
      <c r="C39" s="30" t="s">
        <v>166</v>
      </c>
      <c r="D39" s="17" t="s">
        <v>737</v>
      </c>
      <c r="E39" s="17" t="s">
        <v>139</v>
      </c>
      <c r="F39" s="25">
        <v>102.26</v>
      </c>
      <c r="G39" s="25">
        <f t="shared" si="0"/>
        <v>-102.26</v>
      </c>
      <c r="H39" s="17" t="s">
        <v>942</v>
      </c>
      <c r="I39" s="17"/>
      <c r="J39" s="17"/>
    </row>
    <row r="40" spans="1:10" x14ac:dyDescent="0.25">
      <c r="A40" s="11">
        <v>46313.297589699076</v>
      </c>
      <c r="B40" s="17" t="s">
        <v>165</v>
      </c>
      <c r="C40" s="30" t="s">
        <v>166</v>
      </c>
      <c r="D40" s="17" t="s">
        <v>737</v>
      </c>
      <c r="E40" s="17" t="s">
        <v>150</v>
      </c>
      <c r="F40" s="25">
        <v>66</v>
      </c>
      <c r="G40" s="25">
        <f t="shared" si="0"/>
        <v>-66</v>
      </c>
      <c r="H40" s="17" t="s">
        <v>943</v>
      </c>
      <c r="I40" s="17"/>
      <c r="J40" s="17"/>
    </row>
    <row r="41" spans="1:10" x14ac:dyDescent="0.25">
      <c r="A41" s="11">
        <v>46313.29817947917</v>
      </c>
      <c r="B41" s="17" t="s">
        <v>165</v>
      </c>
      <c r="C41" s="30" t="s">
        <v>166</v>
      </c>
      <c r="D41" s="17" t="s">
        <v>737</v>
      </c>
      <c r="E41" s="17" t="s">
        <v>150</v>
      </c>
      <c r="F41" s="25">
        <v>67.099999999999994</v>
      </c>
      <c r="G41" s="25">
        <f t="shared" si="0"/>
        <v>-67.099999999999994</v>
      </c>
      <c r="H41" s="17" t="s">
        <v>944</v>
      </c>
      <c r="I41" s="17"/>
      <c r="J41" s="17"/>
    </row>
    <row r="42" spans="1:10" x14ac:dyDescent="0.25">
      <c r="A42" s="11">
        <v>46313.502061412037</v>
      </c>
      <c r="B42" s="17" t="s">
        <v>165</v>
      </c>
      <c r="C42" s="30" t="s">
        <v>166</v>
      </c>
      <c r="D42" s="17" t="s">
        <v>113</v>
      </c>
      <c r="E42" s="17" t="s">
        <v>150</v>
      </c>
      <c r="F42" s="25">
        <v>30</v>
      </c>
      <c r="G42" s="25">
        <f t="shared" si="0"/>
        <v>-30</v>
      </c>
      <c r="H42" s="17" t="s">
        <v>945</v>
      </c>
      <c r="I42" s="17"/>
      <c r="J42" s="17"/>
    </row>
    <row r="43" spans="1:10" x14ac:dyDescent="0.25">
      <c r="A43" s="46">
        <v>46314.470949074072</v>
      </c>
      <c r="B43" s="17" t="s">
        <v>165</v>
      </c>
      <c r="C43" s="30" t="s">
        <v>166</v>
      </c>
      <c r="D43" s="17" t="s">
        <v>737</v>
      </c>
      <c r="E43" s="17" t="s">
        <v>129</v>
      </c>
      <c r="F43" s="25">
        <v>63.45</v>
      </c>
      <c r="G43" s="25">
        <f t="shared" si="0"/>
        <v>-63.45</v>
      </c>
      <c r="H43" s="17" t="s">
        <v>946</v>
      </c>
      <c r="I43" s="17"/>
      <c r="J43" s="17"/>
    </row>
    <row r="44" spans="1:10" x14ac:dyDescent="0.25">
      <c r="A44" s="46">
        <v>46314.472060185188</v>
      </c>
      <c r="B44" s="17" t="s">
        <v>165</v>
      </c>
      <c r="C44" s="30" t="s">
        <v>166</v>
      </c>
      <c r="D44" s="17" t="s">
        <v>737</v>
      </c>
      <c r="E44" s="17" t="s">
        <v>129</v>
      </c>
      <c r="F44" s="25">
        <v>34.799999999999997</v>
      </c>
      <c r="G44" s="25">
        <f t="shared" si="0"/>
        <v>-34.799999999999997</v>
      </c>
      <c r="H44" s="17" t="s">
        <v>947</v>
      </c>
      <c r="I44" s="17"/>
      <c r="J44" s="17"/>
    </row>
    <row r="45" spans="1:10" x14ac:dyDescent="0.25">
      <c r="A45" s="46">
        <v>46315.473645833335</v>
      </c>
      <c r="B45" s="17" t="s">
        <v>165</v>
      </c>
      <c r="C45" s="30" t="s">
        <v>166</v>
      </c>
      <c r="D45" s="17" t="s">
        <v>113</v>
      </c>
      <c r="E45" s="17" t="s">
        <v>137</v>
      </c>
      <c r="F45" s="25">
        <v>124.72</v>
      </c>
      <c r="G45" s="25">
        <f t="shared" si="0"/>
        <v>-124.72</v>
      </c>
      <c r="H45" s="17" t="s">
        <v>803</v>
      </c>
      <c r="I45" s="17"/>
      <c r="J45" s="17"/>
    </row>
    <row r="46" spans="1:10" x14ac:dyDescent="0.25">
      <c r="A46" s="11">
        <v>46319.474403645829</v>
      </c>
      <c r="B46" s="17" t="s">
        <v>165</v>
      </c>
      <c r="C46" s="30" t="s">
        <v>166</v>
      </c>
      <c r="D46" s="17" t="s">
        <v>113</v>
      </c>
      <c r="E46" s="17" t="s">
        <v>124</v>
      </c>
      <c r="F46" s="25">
        <v>261.7</v>
      </c>
      <c r="G46" s="25">
        <f t="shared" si="0"/>
        <v>-261.7</v>
      </c>
      <c r="H46" s="17" t="s">
        <v>167</v>
      </c>
      <c r="I46" s="17"/>
      <c r="J46" s="17"/>
    </row>
    <row r="47" spans="1:10" x14ac:dyDescent="0.25">
      <c r="A47" s="11">
        <v>46319.474403645829</v>
      </c>
      <c r="B47" s="17" t="s">
        <v>165</v>
      </c>
      <c r="C47" s="30" t="s">
        <v>166</v>
      </c>
      <c r="D47" s="17" t="s">
        <v>117</v>
      </c>
      <c r="E47" s="17" t="s">
        <v>139</v>
      </c>
      <c r="F47" s="25">
        <v>10</v>
      </c>
      <c r="G47" s="25">
        <f t="shared" si="0"/>
        <v>-10</v>
      </c>
      <c r="H47" s="17" t="s">
        <v>948</v>
      </c>
      <c r="I47" s="17"/>
      <c r="J47" s="17"/>
    </row>
    <row r="48" spans="1:10" x14ac:dyDescent="0.25">
      <c r="A48" s="11">
        <v>46319.47912157407</v>
      </c>
      <c r="B48" s="17" t="s">
        <v>165</v>
      </c>
      <c r="C48" s="30" t="s">
        <v>166</v>
      </c>
      <c r="D48" s="17" t="s">
        <v>737</v>
      </c>
      <c r="E48" s="17" t="s">
        <v>147</v>
      </c>
      <c r="F48" s="25">
        <v>30</v>
      </c>
      <c r="G48" s="25">
        <f t="shared" si="0"/>
        <v>-30</v>
      </c>
      <c r="H48" s="17" t="s">
        <v>949</v>
      </c>
      <c r="I48" s="17"/>
      <c r="J48" s="17"/>
    </row>
    <row r="49" spans="1:10" x14ac:dyDescent="0.25">
      <c r="A49" s="11">
        <v>46319.479833171295</v>
      </c>
      <c r="B49" s="17" t="s">
        <v>165</v>
      </c>
      <c r="C49" s="30" t="s">
        <v>166</v>
      </c>
      <c r="D49" s="17" t="s">
        <v>113</v>
      </c>
      <c r="E49" s="17" t="s">
        <v>121</v>
      </c>
      <c r="F49" s="25">
        <v>40</v>
      </c>
      <c r="G49" s="25">
        <f t="shared" si="0"/>
        <v>-40</v>
      </c>
      <c r="H49" s="17"/>
      <c r="I49" s="17"/>
      <c r="J49" s="17"/>
    </row>
    <row r="50" spans="1:10" x14ac:dyDescent="0.25">
      <c r="A50" s="11">
        <v>46319.481172476851</v>
      </c>
      <c r="B50" s="17" t="s">
        <v>165</v>
      </c>
      <c r="C50" s="30" t="s">
        <v>166</v>
      </c>
      <c r="D50" s="17" t="s">
        <v>737</v>
      </c>
      <c r="E50" s="17" t="s">
        <v>150</v>
      </c>
      <c r="F50" s="25">
        <v>91.17</v>
      </c>
      <c r="G50" s="25">
        <f t="shared" si="0"/>
        <v>-91.17</v>
      </c>
      <c r="H50" s="17" t="s">
        <v>950</v>
      </c>
      <c r="I50" s="17"/>
      <c r="J50" s="17"/>
    </row>
    <row r="51" spans="1:10" x14ac:dyDescent="0.25">
      <c r="A51" s="11">
        <v>46319.481875266203</v>
      </c>
      <c r="B51" s="17" t="s">
        <v>165</v>
      </c>
      <c r="C51" s="30" t="s">
        <v>166</v>
      </c>
      <c r="D51" s="17" t="s">
        <v>737</v>
      </c>
      <c r="E51" s="17" t="s">
        <v>143</v>
      </c>
      <c r="F51" s="25">
        <v>25.49</v>
      </c>
      <c r="G51" s="25">
        <f t="shared" si="0"/>
        <v>-25.49</v>
      </c>
      <c r="H51" s="17" t="s">
        <v>951</v>
      </c>
      <c r="I51" s="17"/>
      <c r="J51" s="17"/>
    </row>
    <row r="52" spans="1:10" x14ac:dyDescent="0.25">
      <c r="A52" s="11">
        <v>46319.482548078704</v>
      </c>
      <c r="B52" s="17" t="s">
        <v>165</v>
      </c>
      <c r="C52" s="30" t="s">
        <v>166</v>
      </c>
      <c r="D52" s="17" t="s">
        <v>737</v>
      </c>
      <c r="E52" s="17" t="s">
        <v>148</v>
      </c>
      <c r="F52" s="25">
        <v>20</v>
      </c>
      <c r="G52" s="25">
        <f t="shared" si="0"/>
        <v>-20</v>
      </c>
      <c r="H52" s="17" t="s">
        <v>952</v>
      </c>
      <c r="I52" s="17"/>
      <c r="J52" s="17"/>
    </row>
    <row r="53" spans="1:10" x14ac:dyDescent="0.25">
      <c r="A53" s="11">
        <v>46319.483183842589</v>
      </c>
      <c r="B53" s="17" t="s">
        <v>776</v>
      </c>
      <c r="C53" s="30" t="s">
        <v>166</v>
      </c>
      <c r="D53" s="17" t="s">
        <v>126</v>
      </c>
      <c r="E53" s="17" t="s">
        <v>126</v>
      </c>
      <c r="F53" s="25">
        <v>2579.35</v>
      </c>
      <c r="G53" s="25">
        <f t="shared" si="0"/>
        <v>2579.35</v>
      </c>
      <c r="H53" s="17" t="s">
        <v>953</v>
      </c>
      <c r="I53" s="17"/>
      <c r="J53" s="17"/>
    </row>
    <row r="54" spans="1:10" x14ac:dyDescent="0.25">
      <c r="A54" s="11">
        <v>46319.483950648151</v>
      </c>
      <c r="B54" s="17" t="s">
        <v>165</v>
      </c>
      <c r="C54" s="30" t="s">
        <v>166</v>
      </c>
      <c r="D54" s="17" t="s">
        <v>120</v>
      </c>
      <c r="E54" s="17" t="s">
        <v>131</v>
      </c>
      <c r="F54" s="25">
        <v>100</v>
      </c>
      <c r="G54" s="25">
        <f t="shared" si="0"/>
        <v>-100</v>
      </c>
      <c r="H54" s="17"/>
      <c r="I54" s="17"/>
      <c r="J54" s="17"/>
    </row>
    <row r="55" spans="1:10" x14ac:dyDescent="0.25">
      <c r="A55" s="11">
        <v>46319.48480633102</v>
      </c>
      <c r="B55" s="17" t="s">
        <v>165</v>
      </c>
      <c r="C55" s="30" t="s">
        <v>166</v>
      </c>
      <c r="D55" s="17" t="s">
        <v>113</v>
      </c>
      <c r="E55" s="17" t="s">
        <v>118</v>
      </c>
      <c r="F55" s="25">
        <v>250</v>
      </c>
      <c r="G55" s="25">
        <f t="shared" si="0"/>
        <v>-250</v>
      </c>
      <c r="H55" s="17" t="s">
        <v>954</v>
      </c>
      <c r="I55" s="17"/>
      <c r="J55" s="17"/>
    </row>
    <row r="56" spans="1:10" x14ac:dyDescent="0.25">
      <c r="A56" s="11">
        <v>46319.603390706019</v>
      </c>
      <c r="B56" s="17" t="s">
        <v>165</v>
      </c>
      <c r="C56" s="30" t="s">
        <v>166</v>
      </c>
      <c r="D56" s="17" t="s">
        <v>737</v>
      </c>
      <c r="E56" s="17" t="s">
        <v>147</v>
      </c>
      <c r="F56" s="25">
        <v>50</v>
      </c>
      <c r="G56" s="25">
        <f t="shared" si="0"/>
        <v>-50</v>
      </c>
      <c r="H56" s="17" t="s">
        <v>955</v>
      </c>
      <c r="I56" s="17"/>
      <c r="J56" s="17"/>
    </row>
    <row r="57" spans="1:10" x14ac:dyDescent="0.25">
      <c r="A57" s="11">
        <v>46319.912987268515</v>
      </c>
      <c r="B57" s="17" t="s">
        <v>165</v>
      </c>
      <c r="C57" s="30" t="s">
        <v>166</v>
      </c>
      <c r="D57" s="17" t="s">
        <v>737</v>
      </c>
      <c r="E57" s="17" t="s">
        <v>139</v>
      </c>
      <c r="F57" s="25">
        <v>42.9</v>
      </c>
      <c r="G57" s="25">
        <f t="shared" si="0"/>
        <v>-42.9</v>
      </c>
      <c r="H57" s="17"/>
      <c r="I57" s="17"/>
      <c r="J57" s="17"/>
    </row>
    <row r="58" spans="1:10" x14ac:dyDescent="0.25">
      <c r="A58" s="11"/>
      <c r="B58" s="17"/>
      <c r="C58" s="30"/>
      <c r="D58" s="17"/>
      <c r="E58" s="17"/>
      <c r="F58" s="25"/>
      <c r="G58" s="25">
        <f t="shared" si="0"/>
        <v>0</v>
      </c>
      <c r="H58" s="17"/>
      <c r="I58" s="17"/>
      <c r="J58" s="17"/>
    </row>
    <row r="59" spans="1:10" x14ac:dyDescent="0.25">
      <c r="A59" s="11"/>
      <c r="B59" s="17"/>
      <c r="C59" s="30"/>
      <c r="D59" s="17"/>
      <c r="E59" s="17"/>
      <c r="F59" s="25"/>
      <c r="G59" s="25">
        <f t="shared" si="0"/>
        <v>0</v>
      </c>
      <c r="H59" s="17"/>
      <c r="I59" s="17"/>
      <c r="J59" s="17"/>
    </row>
    <row r="60" spans="1:10" x14ac:dyDescent="0.25">
      <c r="A60" s="11"/>
      <c r="B60" s="17"/>
      <c r="C60" s="30"/>
      <c r="D60" s="17"/>
      <c r="E60" s="17"/>
      <c r="F60" s="25"/>
      <c r="G60" s="25">
        <f t="shared" si="0"/>
        <v>0</v>
      </c>
      <c r="H60" s="17"/>
      <c r="I60" s="17"/>
      <c r="J60" s="17"/>
    </row>
    <row r="61" spans="1:10" x14ac:dyDescent="0.25">
      <c r="A61" s="11"/>
      <c r="B61" s="17"/>
      <c r="C61" s="30"/>
      <c r="D61" s="17"/>
      <c r="E61" s="17"/>
      <c r="F61" s="25"/>
      <c r="G61" s="25">
        <f t="shared" si="0"/>
        <v>0</v>
      </c>
      <c r="H61" s="17"/>
      <c r="I61" s="17"/>
      <c r="J61" s="17"/>
    </row>
    <row r="62" spans="1:10" x14ac:dyDescent="0.25">
      <c r="A62" s="11"/>
      <c r="B62" s="17"/>
      <c r="C62" s="30"/>
      <c r="D62" s="17"/>
      <c r="E62" s="17"/>
      <c r="F62" s="25"/>
      <c r="G62" s="25">
        <f t="shared" si="0"/>
        <v>0</v>
      </c>
      <c r="H62" s="17"/>
      <c r="I62" s="17"/>
      <c r="J62" s="17"/>
    </row>
    <row r="63" spans="1:10" x14ac:dyDescent="0.25">
      <c r="A63" s="11"/>
      <c r="B63" s="17"/>
      <c r="C63" s="30"/>
      <c r="D63" s="17"/>
      <c r="E63" s="17"/>
      <c r="F63" s="25"/>
      <c r="G63" s="25">
        <f t="shared" si="0"/>
        <v>0</v>
      </c>
      <c r="H63" s="17"/>
      <c r="I63" s="17"/>
      <c r="J63" s="17"/>
    </row>
    <row r="64" spans="1:10" x14ac:dyDescent="0.25">
      <c r="A64" s="11"/>
      <c r="B64" s="17"/>
      <c r="C64" s="30"/>
      <c r="D64" s="17"/>
      <c r="E64" s="17"/>
      <c r="F64" s="25"/>
      <c r="G64" s="25">
        <f t="shared" si="0"/>
        <v>0</v>
      </c>
      <c r="H64" s="17"/>
      <c r="I64" s="17"/>
      <c r="J64" s="17"/>
    </row>
    <row r="65" spans="1:10" x14ac:dyDescent="0.25">
      <c r="A65" s="11"/>
      <c r="B65" s="17"/>
      <c r="C65" s="30"/>
      <c r="D65" s="17"/>
      <c r="E65" s="17"/>
      <c r="F65" s="25"/>
      <c r="G65" s="25">
        <f t="shared" si="0"/>
        <v>0</v>
      </c>
      <c r="H65" s="17"/>
      <c r="I65" s="17"/>
      <c r="J65" s="17"/>
    </row>
    <row r="66" spans="1:10" x14ac:dyDescent="0.25">
      <c r="A66" s="11"/>
      <c r="B66" s="17"/>
      <c r="C66" s="30"/>
      <c r="D66" s="17"/>
      <c r="E66" s="17"/>
      <c r="F66" s="25"/>
      <c r="G66" s="25">
        <f t="shared" si="0"/>
        <v>0</v>
      </c>
      <c r="H66" s="17"/>
      <c r="I66" s="17"/>
      <c r="J66" s="17"/>
    </row>
    <row r="67" spans="1:10" x14ac:dyDescent="0.25">
      <c r="A67" s="11"/>
      <c r="B67" s="17"/>
      <c r="C67" s="30"/>
      <c r="D67" s="17"/>
      <c r="E67" s="17"/>
      <c r="F67" s="25"/>
      <c r="G67" s="25">
        <f t="shared" si="0"/>
        <v>0</v>
      </c>
      <c r="H67" s="17"/>
      <c r="I67" s="17"/>
      <c r="J67" s="17"/>
    </row>
    <row r="68" spans="1:10" x14ac:dyDescent="0.25">
      <c r="A68" s="11"/>
      <c r="B68" s="17"/>
      <c r="C68" s="30"/>
      <c r="D68" s="17"/>
      <c r="E68" s="17"/>
      <c r="F68" s="25"/>
      <c r="G68" s="25">
        <f t="shared" si="0"/>
        <v>0</v>
      </c>
      <c r="H68" s="17"/>
      <c r="I68" s="17"/>
      <c r="J68" s="17"/>
    </row>
    <row r="69" spans="1:10" x14ac:dyDescent="0.25">
      <c r="A69" s="11"/>
      <c r="B69" s="17"/>
      <c r="C69" s="30"/>
      <c r="D69" s="17"/>
      <c r="E69" s="17"/>
      <c r="F69" s="25"/>
      <c r="G69" s="25">
        <f t="shared" si="0"/>
        <v>0</v>
      </c>
      <c r="H69" s="17"/>
      <c r="I69" s="17"/>
      <c r="J69" s="17"/>
    </row>
    <row r="70" spans="1:10" x14ac:dyDescent="0.25">
      <c r="A70" s="11"/>
      <c r="B70" s="17"/>
      <c r="C70" s="30"/>
      <c r="D70" s="17"/>
      <c r="E70" s="17"/>
      <c r="F70" s="25"/>
      <c r="G70" s="25">
        <f t="shared" si="0"/>
        <v>0</v>
      </c>
      <c r="H70" s="17"/>
      <c r="I70" s="17"/>
      <c r="J70" s="17"/>
    </row>
    <row r="71" spans="1:10" x14ac:dyDescent="0.25">
      <c r="A71" s="11"/>
      <c r="B71" s="17"/>
      <c r="C71" s="30"/>
      <c r="D71" s="17"/>
      <c r="E71" s="17"/>
      <c r="F71" s="25"/>
      <c r="G71" s="25">
        <f t="shared" si="0"/>
        <v>0</v>
      </c>
      <c r="H71" s="17"/>
      <c r="I71" s="17"/>
      <c r="J71" s="17"/>
    </row>
    <row r="72" spans="1:10" x14ac:dyDescent="0.25">
      <c r="A72" s="11"/>
      <c r="B72" s="17"/>
      <c r="C72" s="30"/>
      <c r="D72" s="17"/>
      <c r="E72" s="17"/>
      <c r="F72" s="25"/>
      <c r="G72" s="25">
        <f t="shared" si="0"/>
        <v>0</v>
      </c>
      <c r="H72" s="17"/>
      <c r="I72" s="17"/>
      <c r="J72" s="17"/>
    </row>
    <row r="73" spans="1:10" x14ac:dyDescent="0.25">
      <c r="A73" s="11"/>
      <c r="B73" s="17"/>
      <c r="C73" s="30"/>
      <c r="D73" s="17"/>
      <c r="E73" s="17"/>
      <c r="F73" s="25"/>
      <c r="G73" s="25">
        <f t="shared" si="0"/>
        <v>0</v>
      </c>
      <c r="H73" s="17"/>
      <c r="I73" s="17"/>
      <c r="J73" s="17"/>
    </row>
    <row r="74" spans="1:10" x14ac:dyDescent="0.25">
      <c r="A74" s="11"/>
      <c r="B74" s="17"/>
      <c r="C74" s="30"/>
      <c r="D74" s="17"/>
      <c r="E74" s="17"/>
      <c r="F74" s="25"/>
      <c r="G74" s="25">
        <f t="shared" si="0"/>
        <v>0</v>
      </c>
      <c r="H74" s="17"/>
      <c r="I74" s="17"/>
      <c r="J74" s="17"/>
    </row>
    <row r="75" spans="1:10" x14ac:dyDescent="0.25">
      <c r="A75" s="11"/>
      <c r="B75" s="17"/>
      <c r="C75" s="30"/>
      <c r="D75" s="17"/>
      <c r="E75" s="17"/>
      <c r="F75" s="25"/>
      <c r="G75" s="25">
        <f t="shared" si="0"/>
        <v>0</v>
      </c>
      <c r="H75" s="17"/>
      <c r="I75" s="17"/>
      <c r="J75" s="17"/>
    </row>
    <row r="76" spans="1:10" x14ac:dyDescent="0.25">
      <c r="A76" s="11"/>
      <c r="B76" s="17"/>
      <c r="C76" s="30"/>
      <c r="D76" s="17"/>
      <c r="E76" s="17"/>
      <c r="F76" s="25"/>
      <c r="G76" s="25">
        <f t="shared" si="0"/>
        <v>0</v>
      </c>
      <c r="H76" s="17"/>
      <c r="I76" s="17"/>
      <c r="J76" s="17"/>
    </row>
    <row r="77" spans="1:10" x14ac:dyDescent="0.25">
      <c r="A77" s="11"/>
      <c r="B77" s="17"/>
      <c r="C77" s="30"/>
      <c r="D77" s="17"/>
      <c r="E77" s="17"/>
      <c r="F77" s="25"/>
      <c r="G77" s="25">
        <f t="shared" si="0"/>
        <v>0</v>
      </c>
      <c r="H77" s="17"/>
      <c r="I77" s="17"/>
      <c r="J77" s="17"/>
    </row>
    <row r="78" spans="1:10" x14ac:dyDescent="0.25">
      <c r="A78" s="11"/>
      <c r="B78" s="17"/>
      <c r="C78" s="30"/>
      <c r="D78" s="17"/>
      <c r="E78" s="17"/>
      <c r="F78" s="25"/>
      <c r="G78" s="25">
        <f t="shared" si="0"/>
        <v>0</v>
      </c>
      <c r="H78" s="17"/>
      <c r="I78" s="17"/>
      <c r="J78" s="17"/>
    </row>
    <row r="79" spans="1:10" x14ac:dyDescent="0.25">
      <c r="A79" s="11"/>
      <c r="B79" s="17"/>
      <c r="C79" s="30"/>
      <c r="D79" s="17"/>
      <c r="E79" s="17"/>
      <c r="F79" s="25"/>
      <c r="G79" s="25">
        <f t="shared" si="0"/>
        <v>0</v>
      </c>
      <c r="H79" s="17"/>
      <c r="I79" s="17"/>
      <c r="J79" s="17"/>
    </row>
    <row r="80" spans="1:10" x14ac:dyDescent="0.25">
      <c r="A80" s="11"/>
      <c r="B80" s="17"/>
      <c r="C80" s="30"/>
      <c r="D80" s="17"/>
      <c r="E80" s="17"/>
      <c r="F80" s="25"/>
      <c r="G80" s="25">
        <f t="shared" si="0"/>
        <v>0</v>
      </c>
      <c r="H80" s="17"/>
      <c r="I80" s="17"/>
      <c r="J80" s="17"/>
    </row>
    <row r="81" spans="1:10" x14ac:dyDescent="0.25">
      <c r="A81" s="11"/>
      <c r="B81" s="17"/>
      <c r="C81" s="30"/>
      <c r="D81" s="17"/>
      <c r="E81" s="17"/>
      <c r="F81" s="25"/>
      <c r="G81" s="25">
        <f t="shared" si="0"/>
        <v>0</v>
      </c>
      <c r="H81" s="17"/>
      <c r="I81" s="17"/>
      <c r="J81" s="17"/>
    </row>
    <row r="82" spans="1:10" x14ac:dyDescent="0.25">
      <c r="A82" s="11"/>
      <c r="B82" s="17"/>
      <c r="C82" s="30"/>
      <c r="D82" s="17"/>
      <c r="E82" s="17"/>
      <c r="F82" s="25"/>
      <c r="G82" s="25">
        <f t="shared" si="0"/>
        <v>0</v>
      </c>
      <c r="H82" s="17"/>
      <c r="I82" s="17"/>
      <c r="J82" s="17"/>
    </row>
    <row r="83" spans="1:10" x14ac:dyDescent="0.25">
      <c r="A83" s="11"/>
      <c r="B83" s="17"/>
      <c r="C83" s="30"/>
      <c r="D83" s="17"/>
      <c r="E83" s="17"/>
      <c r="F83" s="25"/>
      <c r="G83" s="25">
        <f t="shared" si="0"/>
        <v>0</v>
      </c>
      <c r="H83" s="17"/>
      <c r="I83" s="17"/>
      <c r="J83" s="17"/>
    </row>
    <row r="84" spans="1:10" x14ac:dyDescent="0.25">
      <c r="A84" s="11"/>
      <c r="B84" s="17"/>
      <c r="C84" s="30"/>
      <c r="D84" s="17"/>
      <c r="E84" s="17"/>
      <c r="F84" s="25"/>
      <c r="G84" s="25">
        <f t="shared" si="0"/>
        <v>0</v>
      </c>
      <c r="H84" s="17"/>
      <c r="I84" s="17"/>
      <c r="J84" s="17"/>
    </row>
    <row r="85" spans="1:10" x14ac:dyDescent="0.25">
      <c r="A85" s="11"/>
      <c r="B85" s="17"/>
      <c r="C85" s="30"/>
      <c r="D85" s="17"/>
      <c r="E85" s="17"/>
      <c r="F85" s="25"/>
      <c r="G85" s="25">
        <f t="shared" si="0"/>
        <v>0</v>
      </c>
      <c r="H85" s="17"/>
      <c r="I85" s="17"/>
      <c r="J85" s="17"/>
    </row>
    <row r="86" spans="1:10" x14ac:dyDescent="0.25">
      <c r="A86" s="11"/>
      <c r="B86" s="17"/>
      <c r="C86" s="30"/>
      <c r="D86" s="17"/>
      <c r="E86" s="17"/>
      <c r="F86" s="25"/>
      <c r="G86" s="25">
        <f t="shared" si="0"/>
        <v>0</v>
      </c>
      <c r="H86" s="17"/>
      <c r="I86" s="17"/>
      <c r="J86" s="17"/>
    </row>
    <row r="87" spans="1:10" x14ac:dyDescent="0.25">
      <c r="A87" s="11"/>
      <c r="B87" s="17"/>
      <c r="C87" s="30"/>
      <c r="D87" s="17"/>
      <c r="E87" s="17"/>
      <c r="F87" s="25"/>
      <c r="G87" s="25">
        <f t="shared" si="0"/>
        <v>0</v>
      </c>
      <c r="H87" s="17"/>
      <c r="I87" s="17"/>
      <c r="J87" s="17"/>
    </row>
    <row r="88" spans="1:10" x14ac:dyDescent="0.25">
      <c r="A88" s="11"/>
      <c r="B88" s="17"/>
      <c r="C88" s="30"/>
      <c r="D88" s="17"/>
      <c r="E88" s="17"/>
      <c r="F88" s="25"/>
      <c r="G88" s="25">
        <f t="shared" si="0"/>
        <v>0</v>
      </c>
      <c r="H88" s="17"/>
      <c r="I88" s="17"/>
      <c r="J88" s="17"/>
    </row>
    <row r="89" spans="1:10" x14ac:dyDescent="0.25">
      <c r="A89" s="11"/>
      <c r="B89" s="17"/>
      <c r="C89" s="30"/>
      <c r="D89" s="17"/>
      <c r="E89" s="17"/>
      <c r="F89" s="25"/>
      <c r="G89" s="25">
        <f t="shared" si="0"/>
        <v>0</v>
      </c>
      <c r="H89" s="17"/>
      <c r="I89" s="17"/>
      <c r="J89" s="17"/>
    </row>
    <row r="90" spans="1:10" x14ac:dyDescent="0.25">
      <c r="A90" s="11"/>
      <c r="B90" s="17"/>
      <c r="C90" s="30"/>
      <c r="D90" s="17"/>
      <c r="E90" s="17"/>
      <c r="F90" s="25"/>
      <c r="G90" s="25">
        <f t="shared" si="0"/>
        <v>0</v>
      </c>
      <c r="H90" s="17"/>
      <c r="I90" s="17"/>
      <c r="J90" s="17"/>
    </row>
    <row r="91" spans="1:10" x14ac:dyDescent="0.25">
      <c r="A91" s="11"/>
      <c r="B91" s="17"/>
      <c r="C91" s="30"/>
      <c r="D91" s="17"/>
      <c r="E91" s="17"/>
      <c r="F91" s="25"/>
      <c r="G91" s="25">
        <f t="shared" si="0"/>
        <v>0</v>
      </c>
      <c r="H91" s="17"/>
      <c r="I91" s="17"/>
      <c r="J91" s="17"/>
    </row>
    <row r="92" spans="1:10" x14ac:dyDescent="0.25">
      <c r="A92" s="11"/>
      <c r="B92" s="17"/>
      <c r="C92" s="30"/>
      <c r="D92" s="17"/>
      <c r="E92" s="17"/>
      <c r="F92" s="25"/>
      <c r="G92" s="25">
        <f t="shared" si="0"/>
        <v>0</v>
      </c>
      <c r="H92" s="17"/>
      <c r="I92" s="17"/>
      <c r="J92" s="17"/>
    </row>
    <row r="93" spans="1:10" x14ac:dyDescent="0.25">
      <c r="A93" s="11"/>
      <c r="B93" s="17"/>
      <c r="C93" s="30"/>
      <c r="D93" s="17"/>
      <c r="E93" s="17"/>
      <c r="F93" s="25"/>
      <c r="G93" s="25">
        <f t="shared" si="0"/>
        <v>0</v>
      </c>
      <c r="H93" s="17"/>
      <c r="I93" s="17"/>
      <c r="J93" s="17"/>
    </row>
    <row r="94" spans="1:10" x14ac:dyDescent="0.25">
      <c r="A94" s="11"/>
      <c r="B94" s="17"/>
      <c r="C94" s="30"/>
      <c r="D94" s="17"/>
      <c r="E94" s="17"/>
      <c r="F94" s="25"/>
      <c r="G94" s="25">
        <f t="shared" si="0"/>
        <v>0</v>
      </c>
      <c r="H94" s="17"/>
      <c r="I94" s="17"/>
      <c r="J94" s="17"/>
    </row>
    <row r="95" spans="1:10" x14ac:dyDescent="0.25">
      <c r="A95" s="11"/>
      <c r="B95" s="17"/>
      <c r="C95" s="30"/>
      <c r="D95" s="17"/>
      <c r="E95" s="17"/>
      <c r="F95" s="25"/>
      <c r="G95" s="25">
        <f t="shared" si="0"/>
        <v>0</v>
      </c>
      <c r="H95" s="17"/>
      <c r="I95" s="17"/>
      <c r="J95" s="17"/>
    </row>
    <row r="96" spans="1:10" x14ac:dyDescent="0.25">
      <c r="A96" s="11"/>
      <c r="B96" s="17"/>
      <c r="C96" s="30"/>
      <c r="D96" s="17"/>
      <c r="E96" s="17"/>
      <c r="F96" s="25"/>
      <c r="G96" s="25">
        <f t="shared" si="0"/>
        <v>0</v>
      </c>
      <c r="H96" s="17"/>
      <c r="I96" s="17"/>
      <c r="J96" s="17"/>
    </row>
    <row r="97" spans="1:10" x14ac:dyDescent="0.25">
      <c r="A97" s="11"/>
      <c r="B97" s="17"/>
      <c r="C97" s="30"/>
      <c r="D97" s="17"/>
      <c r="E97" s="17"/>
      <c r="F97" s="25"/>
      <c r="G97" s="25">
        <f t="shared" si="0"/>
        <v>0</v>
      </c>
      <c r="H97" s="17"/>
      <c r="I97" s="17"/>
      <c r="J97" s="17"/>
    </row>
    <row r="98" spans="1:10" x14ac:dyDescent="0.25">
      <c r="A98" s="11"/>
      <c r="B98" s="17"/>
      <c r="C98" s="30"/>
      <c r="D98" s="17"/>
      <c r="E98" s="17"/>
      <c r="F98" s="25"/>
      <c r="G98" s="25">
        <f t="shared" si="0"/>
        <v>0</v>
      </c>
      <c r="H98" s="17"/>
      <c r="I98" s="17"/>
      <c r="J98" s="17"/>
    </row>
    <row r="99" spans="1:10" x14ac:dyDescent="0.25">
      <c r="A99" s="11"/>
      <c r="B99" s="17"/>
      <c r="C99" s="30"/>
      <c r="D99" s="17"/>
      <c r="E99" s="17"/>
      <c r="F99" s="25"/>
      <c r="G99" s="25">
        <f t="shared" si="0"/>
        <v>0</v>
      </c>
      <c r="H99" s="17"/>
      <c r="I99" s="17"/>
      <c r="J99" s="17"/>
    </row>
    <row r="100" spans="1:10" x14ac:dyDescent="0.25">
      <c r="A100" s="11"/>
      <c r="B100" s="17"/>
      <c r="C100" s="30"/>
      <c r="D100" s="17"/>
      <c r="E100" s="17"/>
      <c r="F100" s="25"/>
      <c r="G100" s="25">
        <f t="shared" si="0"/>
        <v>0</v>
      </c>
      <c r="H100" s="17"/>
      <c r="I100" s="17"/>
      <c r="J100" s="17"/>
    </row>
    <row r="101" spans="1:10" x14ac:dyDescent="0.25">
      <c r="A101" s="11"/>
      <c r="B101" s="17"/>
      <c r="C101" s="30"/>
      <c r="D101" s="17"/>
      <c r="E101" s="17"/>
      <c r="F101" s="25"/>
      <c r="G101" s="25">
        <f t="shared" si="0"/>
        <v>0</v>
      </c>
      <c r="H101" s="17"/>
      <c r="I101" s="17"/>
      <c r="J101" s="17"/>
    </row>
    <row r="102" spans="1:10" x14ac:dyDescent="0.25">
      <c r="A102" s="11"/>
      <c r="B102" s="17"/>
      <c r="C102" s="30"/>
      <c r="D102" s="17"/>
      <c r="E102" s="17"/>
      <c r="F102" s="25"/>
      <c r="G102" s="25">
        <f t="shared" si="0"/>
        <v>0</v>
      </c>
      <c r="H102" s="17"/>
      <c r="I102" s="17"/>
      <c r="J102" s="17"/>
    </row>
    <row r="103" spans="1:10" x14ac:dyDescent="0.25">
      <c r="A103" s="11"/>
      <c r="B103" s="17"/>
      <c r="C103" s="30"/>
      <c r="D103" s="17"/>
      <c r="E103" s="17"/>
      <c r="F103" s="25"/>
      <c r="G103" s="25">
        <f t="shared" si="0"/>
        <v>0</v>
      </c>
      <c r="H103" s="17"/>
      <c r="I103" s="17"/>
      <c r="J103" s="17"/>
    </row>
    <row r="104" spans="1:10" x14ac:dyDescent="0.25">
      <c r="A104" s="11"/>
      <c r="B104" s="17"/>
      <c r="C104" s="30"/>
      <c r="D104" s="17"/>
      <c r="E104" s="17"/>
      <c r="F104" s="25"/>
      <c r="G104" s="25">
        <f t="shared" si="0"/>
        <v>0</v>
      </c>
      <c r="H104" s="17"/>
      <c r="I104" s="17"/>
      <c r="J104" s="17"/>
    </row>
    <row r="105" spans="1:10" x14ac:dyDescent="0.25">
      <c r="A105" s="11"/>
      <c r="B105" s="17"/>
      <c r="C105" s="30"/>
      <c r="D105" s="17"/>
      <c r="E105" s="17"/>
      <c r="F105" s="25"/>
      <c r="G105" s="25">
        <f t="shared" si="0"/>
        <v>0</v>
      </c>
      <c r="H105" s="17"/>
      <c r="I105" s="17"/>
      <c r="J105" s="17"/>
    </row>
    <row r="106" spans="1:10" x14ac:dyDescent="0.25">
      <c r="A106" s="11"/>
      <c r="B106" s="17"/>
      <c r="C106" s="30"/>
      <c r="D106" s="17"/>
      <c r="E106" s="17"/>
      <c r="F106" s="25"/>
      <c r="G106" s="25">
        <f t="shared" si="0"/>
        <v>0</v>
      </c>
      <c r="H106" s="17"/>
      <c r="I106" s="17"/>
      <c r="J106" s="17"/>
    </row>
    <row r="107" spans="1:10" x14ac:dyDescent="0.25">
      <c r="A107" s="11"/>
      <c r="B107" s="17"/>
      <c r="C107" s="30"/>
      <c r="D107" s="17"/>
      <c r="E107" s="17"/>
      <c r="F107" s="25"/>
      <c r="G107" s="25">
        <f t="shared" si="0"/>
        <v>0</v>
      </c>
      <c r="H107" s="17"/>
      <c r="I107" s="17"/>
      <c r="J107" s="17"/>
    </row>
    <row r="108" spans="1:10" x14ac:dyDescent="0.25">
      <c r="A108" s="11"/>
      <c r="B108" s="17"/>
      <c r="C108" s="30"/>
      <c r="D108" s="17"/>
      <c r="E108" s="17"/>
      <c r="F108" s="25"/>
      <c r="G108" s="25">
        <f t="shared" si="0"/>
        <v>0</v>
      </c>
      <c r="H108" s="17"/>
      <c r="I108" s="17"/>
      <c r="J108" s="17"/>
    </row>
    <row r="109" spans="1:10" x14ac:dyDescent="0.25">
      <c r="A109" s="11"/>
      <c r="B109" s="17"/>
      <c r="C109" s="30"/>
      <c r="D109" s="17"/>
      <c r="E109" s="17"/>
      <c r="F109" s="25"/>
      <c r="G109" s="25">
        <f t="shared" si="0"/>
        <v>0</v>
      </c>
      <c r="H109" s="17"/>
      <c r="I109" s="17"/>
      <c r="J109" s="17"/>
    </row>
    <row r="110" spans="1:10" x14ac:dyDescent="0.25">
      <c r="A110" s="11"/>
      <c r="B110" s="17"/>
      <c r="C110" s="30"/>
      <c r="D110" s="17"/>
      <c r="E110" s="17"/>
      <c r="F110" s="25"/>
      <c r="G110" s="25">
        <f t="shared" si="0"/>
        <v>0</v>
      </c>
      <c r="H110" s="17"/>
      <c r="I110" s="17"/>
      <c r="J110" s="17"/>
    </row>
    <row r="111" spans="1:10" x14ac:dyDescent="0.25">
      <c r="A111" s="11"/>
      <c r="B111" s="17"/>
      <c r="C111" s="30"/>
      <c r="D111" s="17"/>
      <c r="E111" s="17"/>
      <c r="F111" s="25"/>
      <c r="G111" s="25">
        <f t="shared" si="0"/>
        <v>0</v>
      </c>
      <c r="H111" s="17"/>
      <c r="I111" s="17"/>
      <c r="J111" s="17"/>
    </row>
    <row r="112" spans="1:10" x14ac:dyDescent="0.25">
      <c r="A112" s="11"/>
      <c r="B112" s="17"/>
      <c r="C112" s="30"/>
      <c r="D112" s="17"/>
      <c r="E112" s="17"/>
      <c r="F112" s="25"/>
      <c r="G112" s="25">
        <f t="shared" si="0"/>
        <v>0</v>
      </c>
      <c r="H112" s="17"/>
      <c r="I112" s="17"/>
      <c r="J112" s="17"/>
    </row>
    <row r="113" spans="1:10" x14ac:dyDescent="0.25">
      <c r="A113" s="11"/>
      <c r="B113" s="17"/>
      <c r="C113" s="30"/>
      <c r="D113" s="17"/>
      <c r="E113" s="17"/>
      <c r="F113" s="25"/>
      <c r="G113" s="25">
        <f t="shared" si="0"/>
        <v>0</v>
      </c>
      <c r="H113" s="17"/>
      <c r="I113" s="17"/>
      <c r="J113" s="17"/>
    </row>
    <row r="114" spans="1:10" x14ac:dyDescent="0.25">
      <c r="A114" s="11"/>
      <c r="B114" s="17"/>
      <c r="C114" s="30"/>
      <c r="D114" s="17"/>
      <c r="E114" s="17"/>
      <c r="F114" s="25"/>
      <c r="G114" s="25">
        <f t="shared" si="0"/>
        <v>0</v>
      </c>
      <c r="H114" s="17"/>
      <c r="I114" s="17"/>
      <c r="J114" s="17"/>
    </row>
    <row r="115" spans="1:10" x14ac:dyDescent="0.25">
      <c r="A115" s="11"/>
      <c r="B115" s="17"/>
      <c r="C115" s="30"/>
      <c r="D115" s="17"/>
      <c r="E115" s="17"/>
      <c r="F115" s="25"/>
      <c r="G115" s="25">
        <f t="shared" si="0"/>
        <v>0</v>
      </c>
      <c r="H115" s="17"/>
      <c r="I115" s="17"/>
      <c r="J115" s="17"/>
    </row>
    <row r="116" spans="1:10" x14ac:dyDescent="0.25">
      <c r="A116" s="11"/>
      <c r="B116" s="17"/>
      <c r="C116" s="30"/>
      <c r="D116" s="17"/>
      <c r="E116" s="17"/>
      <c r="F116" s="25"/>
      <c r="G116" s="25">
        <f t="shared" si="0"/>
        <v>0</v>
      </c>
      <c r="H116" s="17"/>
      <c r="I116" s="17"/>
      <c r="J116" s="17"/>
    </row>
    <row r="117" spans="1:10" x14ac:dyDescent="0.25">
      <c r="A117" s="11"/>
      <c r="B117" s="17"/>
      <c r="C117" s="30"/>
      <c r="D117" s="17"/>
      <c r="E117" s="17"/>
      <c r="F117" s="25"/>
      <c r="G117" s="25">
        <f t="shared" si="0"/>
        <v>0</v>
      </c>
      <c r="H117" s="17"/>
      <c r="I117" s="17"/>
      <c r="J117" s="17"/>
    </row>
    <row r="118" spans="1:10" x14ac:dyDescent="0.25">
      <c r="A118" s="11"/>
      <c r="B118" s="17"/>
      <c r="C118" s="30"/>
      <c r="D118" s="17"/>
      <c r="E118" s="17"/>
      <c r="F118" s="25"/>
      <c r="G118" s="25">
        <f t="shared" si="0"/>
        <v>0</v>
      </c>
      <c r="H118" s="17"/>
      <c r="I118" s="17"/>
      <c r="J118" s="17"/>
    </row>
    <row r="119" spans="1:10" x14ac:dyDescent="0.25">
      <c r="A119" s="11"/>
      <c r="B119" s="17"/>
      <c r="C119" s="30"/>
      <c r="D119" s="17"/>
      <c r="E119" s="17"/>
      <c r="F119" s="25"/>
      <c r="G119" s="25">
        <f t="shared" si="0"/>
        <v>0</v>
      </c>
      <c r="H119" s="17"/>
      <c r="I119" s="17"/>
      <c r="J119" s="17"/>
    </row>
    <row r="120" spans="1:10" x14ac:dyDescent="0.25">
      <c r="A120" s="11"/>
      <c r="B120" s="17"/>
      <c r="C120" s="30"/>
      <c r="D120" s="17"/>
      <c r="E120" s="17"/>
      <c r="F120" s="25"/>
      <c r="G120" s="25">
        <f t="shared" si="0"/>
        <v>0</v>
      </c>
      <c r="H120" s="17"/>
      <c r="I120" s="17"/>
      <c r="J120" s="17"/>
    </row>
    <row r="121" spans="1:10" x14ac:dyDescent="0.25">
      <c r="A121" s="11"/>
      <c r="B121" s="17"/>
      <c r="C121" s="30"/>
      <c r="D121" s="17"/>
      <c r="E121" s="17"/>
      <c r="F121" s="25"/>
      <c r="G121" s="25">
        <f t="shared" si="0"/>
        <v>0</v>
      </c>
      <c r="H121" s="17"/>
      <c r="I121" s="17"/>
      <c r="J121" s="17"/>
    </row>
    <row r="122" spans="1:10" x14ac:dyDescent="0.25">
      <c r="A122" s="11"/>
      <c r="B122" s="17"/>
      <c r="C122" s="30"/>
      <c r="D122" s="17"/>
      <c r="E122" s="17"/>
      <c r="F122" s="25"/>
      <c r="G122" s="25">
        <f t="shared" si="0"/>
        <v>0</v>
      </c>
      <c r="H122" s="17"/>
      <c r="I122" s="17"/>
      <c r="J122" s="17"/>
    </row>
    <row r="123" spans="1:10" x14ac:dyDescent="0.25">
      <c r="A123" s="11"/>
      <c r="B123" s="17"/>
      <c r="C123" s="30"/>
      <c r="D123" s="17"/>
      <c r="E123" s="17"/>
      <c r="F123" s="25"/>
      <c r="G123" s="25">
        <f t="shared" si="0"/>
        <v>0</v>
      </c>
      <c r="H123" s="17"/>
      <c r="I123" s="17"/>
      <c r="J123" s="17"/>
    </row>
    <row r="124" spans="1:10" x14ac:dyDescent="0.25">
      <c r="A124" s="11"/>
      <c r="B124" s="17"/>
      <c r="C124" s="30"/>
      <c r="D124" s="17"/>
      <c r="E124" s="17"/>
      <c r="F124" s="25"/>
      <c r="G124" s="25">
        <f t="shared" si="0"/>
        <v>0</v>
      </c>
      <c r="H124" s="17"/>
      <c r="I124" s="17"/>
      <c r="J124" s="17"/>
    </row>
    <row r="125" spans="1:10" x14ac:dyDescent="0.25">
      <c r="A125" s="11"/>
      <c r="B125" s="17"/>
      <c r="C125" s="30"/>
      <c r="D125" s="17"/>
      <c r="E125" s="17"/>
      <c r="F125" s="25"/>
      <c r="G125" s="25">
        <f t="shared" si="0"/>
        <v>0</v>
      </c>
      <c r="H125" s="17"/>
      <c r="I125" s="17"/>
      <c r="J125" s="17"/>
    </row>
    <row r="126" spans="1:10" x14ac:dyDescent="0.25">
      <c r="A126" s="11"/>
      <c r="B126" s="17"/>
      <c r="C126" s="30"/>
      <c r="D126" s="17"/>
      <c r="E126" s="17"/>
      <c r="F126" s="25"/>
      <c r="G126" s="25">
        <f t="shared" si="0"/>
        <v>0</v>
      </c>
      <c r="H126" s="17"/>
      <c r="I126" s="17"/>
      <c r="J126" s="17"/>
    </row>
    <row r="127" spans="1:10" x14ac:dyDescent="0.25">
      <c r="A127" s="11"/>
      <c r="B127" s="17"/>
      <c r="C127" s="30"/>
      <c r="D127" s="17"/>
      <c r="E127" s="17"/>
      <c r="F127" s="25"/>
      <c r="G127" s="25">
        <f t="shared" si="0"/>
        <v>0</v>
      </c>
      <c r="H127" s="17"/>
      <c r="I127" s="17"/>
      <c r="J127" s="17"/>
    </row>
    <row r="128" spans="1:10" x14ac:dyDescent="0.25">
      <c r="A128" s="11"/>
      <c r="B128" s="17"/>
      <c r="C128" s="30"/>
      <c r="D128" s="17"/>
      <c r="E128" s="17"/>
      <c r="F128" s="25"/>
      <c r="G128" s="25">
        <f t="shared" si="0"/>
        <v>0</v>
      </c>
      <c r="H128" s="17"/>
      <c r="I128" s="17"/>
      <c r="J128" s="17"/>
    </row>
    <row r="129" spans="1:10" x14ac:dyDescent="0.25">
      <c r="A129" s="11"/>
      <c r="B129" s="17"/>
      <c r="C129" s="30"/>
      <c r="D129" s="17"/>
      <c r="E129" s="17"/>
      <c r="F129" s="25"/>
      <c r="G129" s="25">
        <f t="shared" si="0"/>
        <v>0</v>
      </c>
      <c r="H129" s="17"/>
      <c r="I129" s="17"/>
      <c r="J129" s="17"/>
    </row>
    <row r="130" spans="1:10" x14ac:dyDescent="0.25">
      <c r="A130" s="11"/>
      <c r="B130" s="17"/>
      <c r="C130" s="30"/>
      <c r="D130" s="17"/>
      <c r="E130" s="17"/>
      <c r="F130" s="25"/>
      <c r="G130" s="25">
        <f t="shared" si="0"/>
        <v>0</v>
      </c>
      <c r="H130" s="17"/>
      <c r="I130" s="17"/>
      <c r="J130" s="17"/>
    </row>
    <row r="131" spans="1:10" x14ac:dyDescent="0.25">
      <c r="A131" s="11"/>
      <c r="B131" s="17"/>
      <c r="C131" s="30"/>
      <c r="D131" s="17"/>
      <c r="E131" s="17"/>
      <c r="F131" s="25"/>
      <c r="G131" s="25">
        <f t="shared" si="0"/>
        <v>0</v>
      </c>
      <c r="H131" s="17"/>
      <c r="I131" s="17"/>
      <c r="J131" s="17"/>
    </row>
    <row r="132" spans="1:10" x14ac:dyDescent="0.25">
      <c r="A132" s="11"/>
      <c r="B132" s="17"/>
      <c r="C132" s="30"/>
      <c r="D132" s="17"/>
      <c r="E132" s="17"/>
      <c r="F132" s="25"/>
      <c r="G132" s="25">
        <f t="shared" si="0"/>
        <v>0</v>
      </c>
      <c r="H132" s="17"/>
      <c r="I132" s="17"/>
      <c r="J132" s="17"/>
    </row>
    <row r="133" spans="1:10" x14ac:dyDescent="0.25">
      <c r="A133" s="11"/>
      <c r="B133" s="17"/>
      <c r="C133" s="30"/>
      <c r="D133" s="17"/>
      <c r="E133" s="17"/>
      <c r="F133" s="25"/>
      <c r="G133" s="25">
        <f t="shared" si="0"/>
        <v>0</v>
      </c>
      <c r="H133" s="17"/>
      <c r="I133" s="17"/>
      <c r="J133" s="17"/>
    </row>
    <row r="134" spans="1:10" x14ac:dyDescent="0.25">
      <c r="A134" s="11"/>
      <c r="B134" s="17"/>
      <c r="C134" s="30"/>
      <c r="D134" s="17"/>
      <c r="E134" s="17"/>
      <c r="F134" s="25"/>
      <c r="G134" s="25">
        <f t="shared" si="0"/>
        <v>0</v>
      </c>
      <c r="H134" s="17"/>
      <c r="I134" s="17"/>
      <c r="J134" s="17"/>
    </row>
    <row r="135" spans="1:10" x14ac:dyDescent="0.25">
      <c r="A135" s="11"/>
      <c r="B135" s="17"/>
      <c r="C135" s="30"/>
      <c r="D135" s="17"/>
      <c r="E135" s="17"/>
      <c r="F135" s="25"/>
      <c r="G135" s="25">
        <f t="shared" si="0"/>
        <v>0</v>
      </c>
      <c r="H135" s="17"/>
      <c r="I135" s="17"/>
      <c r="J135" s="17"/>
    </row>
    <row r="136" spans="1:10" x14ac:dyDescent="0.25">
      <c r="A136" s="11"/>
      <c r="B136" s="17"/>
      <c r="C136" s="30"/>
      <c r="D136" s="17"/>
      <c r="E136" s="17"/>
      <c r="F136" s="25"/>
      <c r="G136" s="25">
        <f t="shared" si="0"/>
        <v>0</v>
      </c>
      <c r="H136" s="17"/>
      <c r="I136" s="17"/>
      <c r="J136" s="17"/>
    </row>
    <row r="137" spans="1:10" x14ac:dyDescent="0.25">
      <c r="A137" s="11"/>
      <c r="B137" s="17"/>
      <c r="C137" s="30"/>
      <c r="D137" s="17"/>
      <c r="E137" s="17"/>
      <c r="F137" s="25"/>
      <c r="G137" s="25">
        <f t="shared" si="0"/>
        <v>0</v>
      </c>
      <c r="H137" s="17"/>
      <c r="I137" s="17"/>
      <c r="J137" s="17"/>
    </row>
    <row r="138" spans="1:10" x14ac:dyDescent="0.25">
      <c r="A138" s="11"/>
      <c r="B138" s="17"/>
      <c r="C138" s="30"/>
      <c r="D138" s="17"/>
      <c r="E138" s="17"/>
      <c r="F138" s="25"/>
      <c r="G138" s="25">
        <f t="shared" si="0"/>
        <v>0</v>
      </c>
      <c r="H138" s="17"/>
      <c r="I138" s="17"/>
      <c r="J138" s="17"/>
    </row>
    <row r="139" spans="1:10" x14ac:dyDescent="0.25">
      <c r="A139" s="11"/>
      <c r="B139" s="17"/>
      <c r="C139" s="30"/>
      <c r="D139" s="17"/>
      <c r="E139" s="17"/>
      <c r="F139" s="25"/>
      <c r="G139" s="25">
        <f t="shared" si="0"/>
        <v>0</v>
      </c>
      <c r="H139" s="17"/>
      <c r="I139" s="17"/>
      <c r="J139" s="17"/>
    </row>
    <row r="140" spans="1:10" x14ac:dyDescent="0.25">
      <c r="A140" s="11"/>
      <c r="B140" s="17"/>
      <c r="C140" s="30"/>
      <c r="D140" s="17"/>
      <c r="E140" s="17"/>
      <c r="F140" s="25"/>
      <c r="G140" s="25">
        <f t="shared" si="0"/>
        <v>0</v>
      </c>
      <c r="H140" s="17"/>
      <c r="I140" s="17"/>
      <c r="J140" s="17"/>
    </row>
    <row r="141" spans="1:10" x14ac:dyDescent="0.25">
      <c r="A141" s="11"/>
      <c r="B141" s="17"/>
      <c r="C141" s="30"/>
      <c r="D141" s="17"/>
      <c r="E141" s="17"/>
      <c r="F141" s="25"/>
      <c r="G141" s="25">
        <f t="shared" si="0"/>
        <v>0</v>
      </c>
      <c r="H141" s="17"/>
      <c r="I141" s="17"/>
      <c r="J141" s="17"/>
    </row>
    <row r="142" spans="1:10" x14ac:dyDescent="0.25">
      <c r="A142" s="11"/>
      <c r="B142" s="17"/>
      <c r="C142" s="30"/>
      <c r="D142" s="17"/>
      <c r="E142" s="17"/>
      <c r="F142" s="25"/>
      <c r="G142" s="25">
        <f t="shared" si="0"/>
        <v>0</v>
      </c>
      <c r="H142" s="17"/>
      <c r="I142" s="17"/>
      <c r="J142" s="17"/>
    </row>
    <row r="143" spans="1:10" x14ac:dyDescent="0.25">
      <c r="A143" s="11"/>
      <c r="B143" s="17"/>
      <c r="C143" s="30"/>
      <c r="D143" s="17"/>
      <c r="E143" s="17"/>
      <c r="F143" s="25"/>
      <c r="G143" s="25">
        <f t="shared" si="0"/>
        <v>0</v>
      </c>
      <c r="H143" s="17"/>
      <c r="I143" s="17"/>
      <c r="J143" s="17"/>
    </row>
    <row r="144" spans="1:10" x14ac:dyDescent="0.25">
      <c r="A144" s="11"/>
      <c r="B144" s="17"/>
      <c r="C144" s="30"/>
      <c r="D144" s="17"/>
      <c r="E144" s="17"/>
      <c r="F144" s="25"/>
      <c r="G144" s="25">
        <f t="shared" si="0"/>
        <v>0</v>
      </c>
      <c r="H144" s="17"/>
      <c r="I144" s="17"/>
      <c r="J144" s="17"/>
    </row>
    <row r="145" spans="1:10" x14ac:dyDescent="0.25">
      <c r="A145" s="11"/>
      <c r="B145" s="17"/>
      <c r="C145" s="30"/>
      <c r="D145" s="17"/>
      <c r="E145" s="17"/>
      <c r="F145" s="25"/>
      <c r="G145" s="25">
        <f t="shared" si="0"/>
        <v>0</v>
      </c>
      <c r="H145" s="17"/>
      <c r="I145" s="17"/>
      <c r="J145" s="17"/>
    </row>
    <row r="146" spans="1:10" x14ac:dyDescent="0.25">
      <c r="A146" s="11"/>
      <c r="B146" s="17"/>
      <c r="C146" s="30"/>
      <c r="D146" s="17"/>
      <c r="E146" s="17"/>
      <c r="F146" s="25"/>
      <c r="G146" s="25">
        <f t="shared" si="0"/>
        <v>0</v>
      </c>
      <c r="H146" s="17"/>
      <c r="I146" s="17"/>
      <c r="J146" s="17"/>
    </row>
    <row r="147" spans="1:10" x14ac:dyDescent="0.25">
      <c r="A147" s="11"/>
      <c r="B147" s="17"/>
      <c r="C147" s="30"/>
      <c r="D147" s="17"/>
      <c r="E147" s="17"/>
      <c r="F147" s="25"/>
      <c r="G147" s="25">
        <f t="shared" si="0"/>
        <v>0</v>
      </c>
      <c r="H147" s="17"/>
      <c r="I147" s="17"/>
      <c r="J147" s="17"/>
    </row>
    <row r="148" spans="1:10" x14ac:dyDescent="0.25">
      <c r="A148" s="11"/>
      <c r="B148" s="17"/>
      <c r="C148" s="30"/>
      <c r="D148" s="17"/>
      <c r="E148" s="17"/>
      <c r="F148" s="25"/>
      <c r="G148" s="25">
        <f t="shared" si="0"/>
        <v>0</v>
      </c>
      <c r="H148" s="17"/>
      <c r="I148" s="17"/>
      <c r="J148" s="17"/>
    </row>
    <row r="149" spans="1:10" x14ac:dyDescent="0.25">
      <c r="A149" s="11"/>
      <c r="B149" s="17"/>
      <c r="C149" s="30"/>
      <c r="D149" s="17"/>
      <c r="E149" s="17"/>
      <c r="F149" s="25"/>
      <c r="G149" s="25">
        <f t="shared" si="0"/>
        <v>0</v>
      </c>
      <c r="H149" s="17"/>
      <c r="I149" s="17"/>
      <c r="J149" s="17"/>
    </row>
    <row r="150" spans="1:10" x14ac:dyDescent="0.25">
      <c r="A150" s="11"/>
      <c r="B150" s="17"/>
      <c r="C150" s="30"/>
      <c r="D150" s="17"/>
      <c r="E150" s="17"/>
      <c r="F150" s="25"/>
      <c r="G150" s="25">
        <f t="shared" si="0"/>
        <v>0</v>
      </c>
      <c r="H150" s="17"/>
      <c r="I150" s="17"/>
      <c r="J150" s="17"/>
    </row>
    <row r="151" spans="1:10" x14ac:dyDescent="0.25">
      <c r="A151" s="11"/>
      <c r="B151" s="17"/>
      <c r="C151" s="30"/>
      <c r="D151" s="17"/>
      <c r="E151" s="17"/>
      <c r="F151" s="25"/>
      <c r="G151" s="25">
        <f t="shared" si="0"/>
        <v>0</v>
      </c>
      <c r="H151" s="17"/>
      <c r="I151" s="17"/>
      <c r="J151" s="17"/>
    </row>
    <row r="152" spans="1:10" x14ac:dyDescent="0.25">
      <c r="A152" s="11"/>
      <c r="B152" s="17"/>
      <c r="C152" s="30"/>
      <c r="D152" s="17"/>
      <c r="E152" s="17"/>
      <c r="F152" s="25"/>
      <c r="G152" s="25">
        <f t="shared" si="0"/>
        <v>0</v>
      </c>
      <c r="H152" s="17"/>
      <c r="I152" s="17"/>
      <c r="J152" s="17"/>
    </row>
    <row r="153" spans="1:10" x14ac:dyDescent="0.25">
      <c r="A153" s="11"/>
      <c r="B153" s="17"/>
      <c r="C153" s="30"/>
      <c r="D153" s="17"/>
      <c r="E153" s="17"/>
      <c r="F153" s="25"/>
      <c r="G153" s="25">
        <f t="shared" si="0"/>
        <v>0</v>
      </c>
      <c r="H153" s="17"/>
      <c r="I153" s="17"/>
      <c r="J153" s="17"/>
    </row>
    <row r="154" spans="1:10" x14ac:dyDescent="0.25">
      <c r="A154" s="11"/>
      <c r="B154" s="17"/>
      <c r="C154" s="30"/>
      <c r="D154" s="17"/>
      <c r="E154" s="17"/>
      <c r="F154" s="25"/>
      <c r="G154" s="25">
        <f t="shared" si="0"/>
        <v>0</v>
      </c>
      <c r="H154" s="17"/>
      <c r="I154" s="17"/>
      <c r="J154" s="17"/>
    </row>
    <row r="155" spans="1:10" x14ac:dyDescent="0.25">
      <c r="A155" s="11"/>
      <c r="B155" s="17"/>
      <c r="C155" s="30"/>
      <c r="D155" s="17"/>
      <c r="E155" s="17"/>
      <c r="F155" s="25"/>
      <c r="G155" s="25">
        <f t="shared" si="0"/>
        <v>0</v>
      </c>
      <c r="H155" s="17"/>
      <c r="I155" s="17"/>
      <c r="J155" s="17"/>
    </row>
    <row r="156" spans="1:10" x14ac:dyDescent="0.25">
      <c r="A156" s="11"/>
      <c r="B156" s="17"/>
      <c r="C156" s="30"/>
      <c r="D156" s="17"/>
      <c r="E156" s="17"/>
      <c r="F156" s="25"/>
      <c r="G156" s="25">
        <f t="shared" si="0"/>
        <v>0</v>
      </c>
      <c r="H156" s="17"/>
      <c r="I156" s="17"/>
      <c r="J156" s="17"/>
    </row>
    <row r="157" spans="1:10" x14ac:dyDescent="0.25">
      <c r="A157" s="11"/>
      <c r="B157" s="17"/>
      <c r="C157" s="30"/>
      <c r="D157" s="17"/>
      <c r="E157" s="17"/>
      <c r="F157" s="25"/>
      <c r="G157" s="25">
        <f t="shared" si="0"/>
        <v>0</v>
      </c>
      <c r="H157" s="17"/>
      <c r="I157" s="17"/>
      <c r="J157" s="17"/>
    </row>
    <row r="158" spans="1:10" x14ac:dyDescent="0.25">
      <c r="A158" s="11"/>
      <c r="B158" s="17"/>
      <c r="C158" s="30"/>
      <c r="D158" s="17"/>
      <c r="E158" s="17"/>
      <c r="F158" s="25"/>
      <c r="G158" s="25">
        <f t="shared" si="0"/>
        <v>0</v>
      </c>
      <c r="H158" s="17"/>
      <c r="I158" s="17"/>
      <c r="J158" s="17"/>
    </row>
    <row r="159" spans="1:10" x14ac:dyDescent="0.25">
      <c r="A159" s="11"/>
      <c r="B159" s="17"/>
      <c r="C159" s="30"/>
      <c r="D159" s="17"/>
      <c r="E159" s="17"/>
      <c r="F159" s="25"/>
      <c r="G159" s="25">
        <f t="shared" si="0"/>
        <v>0</v>
      </c>
      <c r="H159" s="17"/>
      <c r="I159" s="17"/>
      <c r="J159" s="17"/>
    </row>
    <row r="160" spans="1:10" x14ac:dyDescent="0.25">
      <c r="A160" s="11"/>
      <c r="B160" s="17"/>
      <c r="C160" s="30"/>
      <c r="D160" s="17"/>
      <c r="E160" s="17"/>
      <c r="F160" s="25"/>
      <c r="G160" s="25">
        <f t="shared" si="0"/>
        <v>0</v>
      </c>
      <c r="H160" s="17"/>
      <c r="I160" s="17"/>
      <c r="J160" s="17"/>
    </row>
    <row r="161" spans="1:10" x14ac:dyDescent="0.25">
      <c r="A161" s="11"/>
      <c r="B161" s="17"/>
      <c r="C161" s="30"/>
      <c r="D161" s="17"/>
      <c r="E161" s="17"/>
      <c r="F161" s="25"/>
      <c r="G161" s="25">
        <f t="shared" si="0"/>
        <v>0</v>
      </c>
      <c r="H161" s="17"/>
      <c r="I161" s="17"/>
      <c r="J161" s="17"/>
    </row>
    <row r="162" spans="1:10" x14ac:dyDescent="0.25">
      <c r="A162" s="11"/>
      <c r="B162" s="17"/>
      <c r="C162" s="30"/>
      <c r="D162" s="17"/>
      <c r="E162" s="17"/>
      <c r="F162" s="25"/>
      <c r="G162" s="25">
        <f t="shared" si="0"/>
        <v>0</v>
      </c>
      <c r="H162" s="17"/>
      <c r="I162" s="17"/>
      <c r="J162" s="17"/>
    </row>
    <row r="163" spans="1:10" x14ac:dyDescent="0.25">
      <c r="A163" s="11"/>
      <c r="B163" s="17"/>
      <c r="C163" s="30"/>
      <c r="D163" s="17"/>
      <c r="E163" s="17"/>
      <c r="F163" s="25"/>
      <c r="G163" s="25">
        <f t="shared" si="0"/>
        <v>0</v>
      </c>
      <c r="H163" s="17"/>
      <c r="I163" s="17"/>
      <c r="J163" s="17"/>
    </row>
    <row r="164" spans="1:10" x14ac:dyDescent="0.25">
      <c r="A164" s="11"/>
      <c r="B164" s="17"/>
      <c r="C164" s="30"/>
      <c r="D164" s="17"/>
      <c r="E164" s="17"/>
      <c r="F164" s="25"/>
      <c r="G164" s="25">
        <f t="shared" si="0"/>
        <v>0</v>
      </c>
      <c r="H164" s="17"/>
      <c r="I164" s="17"/>
      <c r="J164" s="17"/>
    </row>
    <row r="165" spans="1:10" x14ac:dyDescent="0.25">
      <c r="A165" s="11"/>
      <c r="B165" s="17"/>
      <c r="C165" s="30"/>
      <c r="D165" s="17"/>
      <c r="E165" s="17"/>
      <c r="F165" s="25"/>
      <c r="G165" s="25">
        <f t="shared" si="0"/>
        <v>0</v>
      </c>
      <c r="H165" s="17"/>
      <c r="I165" s="17"/>
      <c r="J165" s="17"/>
    </row>
    <row r="166" spans="1:10" x14ac:dyDescent="0.25">
      <c r="A166" s="11"/>
      <c r="B166" s="17"/>
      <c r="C166" s="30"/>
      <c r="D166" s="17"/>
      <c r="E166" s="17"/>
      <c r="F166" s="25"/>
      <c r="G166" s="25">
        <f t="shared" si="0"/>
        <v>0</v>
      </c>
      <c r="H166" s="17"/>
      <c r="I166" s="17"/>
      <c r="J166" s="17"/>
    </row>
    <row r="167" spans="1:10" x14ac:dyDescent="0.25">
      <c r="A167" s="11"/>
      <c r="B167" s="17"/>
      <c r="C167" s="30"/>
      <c r="D167" s="17"/>
      <c r="E167" s="17"/>
      <c r="F167" s="25"/>
      <c r="G167" s="25">
        <f t="shared" si="0"/>
        <v>0</v>
      </c>
      <c r="H167" s="17"/>
      <c r="I167" s="17"/>
      <c r="J167" s="17"/>
    </row>
    <row r="168" spans="1:10" x14ac:dyDescent="0.25">
      <c r="A168" s="11"/>
      <c r="B168" s="17"/>
      <c r="C168" s="30"/>
      <c r="D168" s="17"/>
      <c r="E168" s="17"/>
      <c r="F168" s="25"/>
      <c r="G168" s="25">
        <f t="shared" si="0"/>
        <v>0</v>
      </c>
      <c r="H168" s="17"/>
      <c r="I168" s="17"/>
      <c r="J168" s="17"/>
    </row>
    <row r="169" spans="1:10" x14ac:dyDescent="0.25">
      <c r="A169" s="11"/>
      <c r="B169" s="17"/>
      <c r="C169" s="30"/>
      <c r="D169" s="17"/>
      <c r="E169" s="17"/>
      <c r="F169" s="25"/>
      <c r="G169" s="25">
        <f t="shared" si="0"/>
        <v>0</v>
      </c>
      <c r="H169" s="17"/>
      <c r="I169" s="17"/>
      <c r="J169" s="17"/>
    </row>
    <row r="170" spans="1:10" x14ac:dyDescent="0.25">
      <c r="A170" s="11"/>
      <c r="B170" s="17"/>
      <c r="C170" s="30"/>
      <c r="D170" s="17"/>
      <c r="E170" s="17"/>
      <c r="F170" s="25"/>
      <c r="G170" s="25">
        <f t="shared" si="0"/>
        <v>0</v>
      </c>
      <c r="H170" s="17"/>
      <c r="I170" s="17"/>
      <c r="J170" s="17"/>
    </row>
    <row r="171" spans="1:10" x14ac:dyDescent="0.25">
      <c r="A171" s="11"/>
      <c r="B171" s="17"/>
      <c r="C171" s="30"/>
      <c r="D171" s="17"/>
      <c r="E171" s="17"/>
      <c r="F171" s="25"/>
      <c r="G171" s="25">
        <f t="shared" si="0"/>
        <v>0</v>
      </c>
      <c r="H171" s="17"/>
      <c r="I171" s="17"/>
      <c r="J171" s="17"/>
    </row>
    <row r="172" spans="1:10" x14ac:dyDescent="0.25">
      <c r="A172" s="11"/>
      <c r="B172" s="17"/>
      <c r="C172" s="30"/>
      <c r="D172" s="17"/>
      <c r="E172" s="17"/>
      <c r="F172" s="25"/>
      <c r="G172" s="25">
        <f t="shared" si="0"/>
        <v>0</v>
      </c>
      <c r="H172" s="17"/>
      <c r="I172" s="17"/>
      <c r="J172" s="17"/>
    </row>
    <row r="173" spans="1:10" x14ac:dyDescent="0.25">
      <c r="A173" s="11"/>
      <c r="B173" s="17"/>
      <c r="C173" s="30"/>
      <c r="D173" s="17"/>
      <c r="E173" s="17"/>
      <c r="F173" s="25"/>
      <c r="G173" s="25">
        <f t="shared" si="0"/>
        <v>0</v>
      </c>
      <c r="H173" s="17"/>
      <c r="I173" s="17"/>
      <c r="J173" s="17"/>
    </row>
    <row r="174" spans="1:10" x14ac:dyDescent="0.25">
      <c r="A174" s="11"/>
      <c r="B174" s="17"/>
      <c r="C174" s="30"/>
      <c r="D174" s="17"/>
      <c r="E174" s="17"/>
      <c r="F174" s="25"/>
      <c r="G174" s="25">
        <f t="shared" si="0"/>
        <v>0</v>
      </c>
      <c r="H174" s="17"/>
      <c r="I174" s="17"/>
      <c r="J174" s="17"/>
    </row>
    <row r="175" spans="1:10" x14ac:dyDescent="0.25">
      <c r="A175" s="11"/>
      <c r="B175" s="17"/>
      <c r="C175" s="30"/>
      <c r="D175" s="17"/>
      <c r="E175" s="17"/>
      <c r="F175" s="25"/>
      <c r="G175" s="25">
        <f t="shared" si="0"/>
        <v>0</v>
      </c>
      <c r="H175" s="17"/>
      <c r="I175" s="17"/>
      <c r="J175" s="17"/>
    </row>
    <row r="176" spans="1:10" x14ac:dyDescent="0.25">
      <c r="A176" s="11"/>
      <c r="B176" s="17"/>
      <c r="C176" s="30"/>
      <c r="D176" s="17"/>
      <c r="E176" s="17"/>
      <c r="F176" s="25"/>
      <c r="G176" s="25">
        <f t="shared" si="0"/>
        <v>0</v>
      </c>
      <c r="H176" s="17"/>
      <c r="I176" s="17"/>
      <c r="J176" s="17"/>
    </row>
    <row r="177" spans="1:10" x14ac:dyDescent="0.25">
      <c r="A177" s="11"/>
      <c r="B177" s="17"/>
      <c r="C177" s="30"/>
      <c r="D177" s="17"/>
      <c r="E177" s="17"/>
      <c r="F177" s="25"/>
      <c r="G177" s="25">
        <f t="shared" si="0"/>
        <v>0</v>
      </c>
      <c r="H177" s="17"/>
      <c r="I177" s="17"/>
      <c r="J177" s="17"/>
    </row>
    <row r="178" spans="1:10" x14ac:dyDescent="0.25">
      <c r="A178" s="11"/>
      <c r="B178" s="17"/>
      <c r="C178" s="30"/>
      <c r="D178" s="17"/>
      <c r="E178" s="17"/>
      <c r="F178" s="25"/>
      <c r="G178" s="25">
        <f t="shared" si="0"/>
        <v>0</v>
      </c>
      <c r="H178" s="17"/>
      <c r="I178" s="17"/>
      <c r="J178" s="17"/>
    </row>
    <row r="179" spans="1:10" x14ac:dyDescent="0.25">
      <c r="A179" s="11"/>
      <c r="B179" s="17"/>
      <c r="C179" s="30"/>
      <c r="D179" s="17"/>
      <c r="E179" s="17"/>
      <c r="F179" s="25"/>
      <c r="G179" s="25">
        <f t="shared" si="0"/>
        <v>0</v>
      </c>
      <c r="H179" s="17"/>
      <c r="I179" s="17"/>
      <c r="J179" s="17"/>
    </row>
    <row r="180" spans="1:10" x14ac:dyDescent="0.25">
      <c r="A180" s="11"/>
      <c r="B180" s="17"/>
      <c r="C180" s="30"/>
      <c r="D180" s="17"/>
      <c r="E180" s="17"/>
      <c r="F180" s="25"/>
      <c r="G180" s="25">
        <f t="shared" si="0"/>
        <v>0</v>
      </c>
      <c r="H180" s="17"/>
      <c r="I180" s="17"/>
      <c r="J180" s="17"/>
    </row>
    <row r="181" spans="1:10" x14ac:dyDescent="0.25">
      <c r="A181" s="11"/>
      <c r="B181" s="17"/>
      <c r="C181" s="30"/>
      <c r="D181" s="17"/>
      <c r="E181" s="17"/>
      <c r="F181" s="25"/>
      <c r="G181" s="25">
        <f t="shared" si="0"/>
        <v>0</v>
      </c>
      <c r="H181" s="17"/>
      <c r="I181" s="17"/>
      <c r="J181" s="17"/>
    </row>
    <row r="182" spans="1:10" x14ac:dyDescent="0.25">
      <c r="A182" s="11"/>
      <c r="B182" s="17"/>
      <c r="C182" s="30"/>
      <c r="D182" s="17"/>
      <c r="E182" s="17"/>
      <c r="F182" s="25"/>
      <c r="G182" s="25">
        <f t="shared" si="0"/>
        <v>0</v>
      </c>
      <c r="H182" s="17"/>
      <c r="I182" s="17"/>
      <c r="J182" s="17"/>
    </row>
    <row r="183" spans="1:10" x14ac:dyDescent="0.25">
      <c r="A183" s="11"/>
      <c r="B183" s="17"/>
      <c r="C183" s="30"/>
      <c r="D183" s="17"/>
      <c r="E183" s="17"/>
      <c r="F183" s="25"/>
      <c r="G183" s="25">
        <f t="shared" si="0"/>
        <v>0</v>
      </c>
      <c r="H183" s="17"/>
      <c r="I183" s="17"/>
      <c r="J183" s="17"/>
    </row>
    <row r="184" spans="1:10" x14ac:dyDescent="0.25">
      <c r="A184" s="11"/>
      <c r="B184" s="17"/>
      <c r="C184" s="30"/>
      <c r="D184" s="17"/>
      <c r="E184" s="17"/>
      <c r="F184" s="25"/>
      <c r="G184" s="25">
        <f t="shared" si="0"/>
        <v>0</v>
      </c>
      <c r="H184" s="17"/>
      <c r="I184" s="17"/>
      <c r="J184" s="17"/>
    </row>
    <row r="185" spans="1:10" x14ac:dyDescent="0.25">
      <c r="A185" s="11"/>
      <c r="B185" s="17"/>
      <c r="C185" s="30"/>
      <c r="D185" s="17"/>
      <c r="E185" s="17"/>
      <c r="F185" s="25"/>
      <c r="G185" s="25">
        <f t="shared" si="0"/>
        <v>0</v>
      </c>
      <c r="H185" s="17"/>
      <c r="I185" s="17"/>
      <c r="J185" s="17"/>
    </row>
    <row r="186" spans="1:10" x14ac:dyDescent="0.25">
      <c r="A186" s="11"/>
      <c r="B186" s="17"/>
      <c r="C186" s="30"/>
      <c r="D186" s="17"/>
      <c r="E186" s="17"/>
      <c r="F186" s="25"/>
      <c r="G186" s="25">
        <f t="shared" si="0"/>
        <v>0</v>
      </c>
      <c r="H186" s="17"/>
      <c r="I186" s="17"/>
      <c r="J186" s="17"/>
    </row>
    <row r="187" spans="1:10" x14ac:dyDescent="0.25">
      <c r="A187" s="11"/>
      <c r="B187" s="17"/>
      <c r="C187" s="30"/>
      <c r="D187" s="17"/>
      <c r="E187" s="17"/>
      <c r="F187" s="25"/>
      <c r="G187" s="25">
        <f t="shared" si="0"/>
        <v>0</v>
      </c>
      <c r="H187" s="17"/>
      <c r="I187" s="17"/>
      <c r="J187" s="17"/>
    </row>
    <row r="188" spans="1:10" x14ac:dyDescent="0.25">
      <c r="A188" s="11"/>
      <c r="B188" s="17"/>
      <c r="C188" s="30"/>
      <c r="D188" s="17"/>
      <c r="E188" s="17"/>
      <c r="F188" s="25"/>
      <c r="G188" s="25">
        <f t="shared" si="0"/>
        <v>0</v>
      </c>
      <c r="H188" s="17"/>
      <c r="I188" s="17"/>
      <c r="J188" s="17"/>
    </row>
    <row r="189" spans="1:10" x14ac:dyDescent="0.25">
      <c r="A189" s="11"/>
      <c r="B189" s="17"/>
      <c r="C189" s="30"/>
      <c r="D189" s="17"/>
      <c r="E189" s="17"/>
      <c r="F189" s="25"/>
      <c r="G189" s="25">
        <f t="shared" si="0"/>
        <v>0</v>
      </c>
      <c r="H189" s="17"/>
      <c r="I189" s="17"/>
      <c r="J189" s="17"/>
    </row>
    <row r="190" spans="1:10" x14ac:dyDescent="0.25">
      <c r="A190" s="11"/>
      <c r="B190" s="17"/>
      <c r="C190" s="30"/>
      <c r="D190" s="17"/>
      <c r="E190" s="17"/>
      <c r="F190" s="25"/>
      <c r="G190" s="25">
        <f t="shared" si="0"/>
        <v>0</v>
      </c>
      <c r="H190" s="17"/>
      <c r="I190" s="17"/>
      <c r="J190" s="17"/>
    </row>
    <row r="191" spans="1:10" x14ac:dyDescent="0.25">
      <c r="A191" s="11"/>
      <c r="B191" s="17"/>
      <c r="C191" s="30"/>
      <c r="D191" s="17"/>
      <c r="E191" s="17"/>
      <c r="F191" s="25"/>
      <c r="G191" s="25">
        <f t="shared" si="0"/>
        <v>0</v>
      </c>
      <c r="H191" s="17"/>
      <c r="I191" s="17"/>
      <c r="J191" s="17"/>
    </row>
    <row r="192" spans="1:10" x14ac:dyDescent="0.25">
      <c r="A192" s="11"/>
      <c r="B192" s="17"/>
      <c r="C192" s="30"/>
      <c r="D192" s="17"/>
      <c r="E192" s="17"/>
      <c r="F192" s="25"/>
      <c r="G192" s="25">
        <f t="shared" si="0"/>
        <v>0</v>
      </c>
      <c r="H192" s="17"/>
      <c r="I192" s="17"/>
      <c r="J192" s="17"/>
    </row>
    <row r="193" spans="1:10" x14ac:dyDescent="0.25">
      <c r="A193" s="11"/>
      <c r="B193" s="17"/>
      <c r="C193" s="30"/>
      <c r="D193" s="17"/>
      <c r="E193" s="17"/>
      <c r="F193" s="25"/>
      <c r="G193" s="25">
        <f t="shared" si="0"/>
        <v>0</v>
      </c>
      <c r="H193" s="17"/>
      <c r="I193" s="17"/>
      <c r="J193" s="17"/>
    </row>
    <row r="194" spans="1:10" x14ac:dyDescent="0.25">
      <c r="A194" s="11"/>
      <c r="B194" s="17"/>
      <c r="C194" s="30"/>
      <c r="D194" s="17"/>
      <c r="E194" s="17"/>
      <c r="F194" s="25"/>
      <c r="G194" s="25">
        <f t="shared" si="0"/>
        <v>0</v>
      </c>
      <c r="H194" s="17"/>
      <c r="I194" s="17"/>
      <c r="J194" s="17"/>
    </row>
    <row r="195" spans="1:10" x14ac:dyDescent="0.25">
      <c r="A195" s="11"/>
      <c r="B195" s="17"/>
      <c r="C195" s="30"/>
      <c r="D195" s="17"/>
      <c r="E195" s="17"/>
      <c r="F195" s="25"/>
      <c r="G195" s="25">
        <f t="shared" si="0"/>
        <v>0</v>
      </c>
      <c r="H195" s="17"/>
      <c r="I195" s="17"/>
      <c r="J195" s="17"/>
    </row>
    <row r="196" spans="1:10" x14ac:dyDescent="0.25">
      <c r="A196" s="11"/>
      <c r="B196" s="17"/>
      <c r="C196" s="30"/>
      <c r="D196" s="17"/>
      <c r="E196" s="17"/>
      <c r="F196" s="25"/>
      <c r="G196" s="25">
        <f t="shared" si="0"/>
        <v>0</v>
      </c>
      <c r="H196" s="17"/>
      <c r="I196" s="17"/>
      <c r="J196" s="17"/>
    </row>
    <row r="197" spans="1:10" x14ac:dyDescent="0.25">
      <c r="A197" s="11"/>
      <c r="B197" s="17"/>
      <c r="C197" s="30"/>
      <c r="D197" s="17"/>
      <c r="E197" s="17"/>
      <c r="F197" s="25"/>
      <c r="G197" s="25">
        <f t="shared" si="0"/>
        <v>0</v>
      </c>
      <c r="H197" s="17"/>
      <c r="I197" s="17"/>
      <c r="J197" s="17"/>
    </row>
    <row r="198" spans="1:10" x14ac:dyDescent="0.25">
      <c r="A198" s="11"/>
      <c r="B198" s="17"/>
      <c r="C198" s="30"/>
      <c r="D198" s="17"/>
      <c r="E198" s="17"/>
      <c r="F198" s="25"/>
      <c r="G198" s="25">
        <f t="shared" si="0"/>
        <v>0</v>
      </c>
      <c r="H198" s="17"/>
      <c r="I198" s="17"/>
      <c r="J198" s="17"/>
    </row>
    <row r="199" spans="1:10" x14ac:dyDescent="0.25">
      <c r="A199" s="11"/>
      <c r="B199" s="17"/>
      <c r="C199" s="30"/>
      <c r="D199" s="17"/>
      <c r="E199" s="17"/>
      <c r="F199" s="25"/>
      <c r="G199" s="25">
        <f t="shared" si="0"/>
        <v>0</v>
      </c>
      <c r="H199" s="17"/>
      <c r="I199" s="17"/>
      <c r="J199" s="17"/>
    </row>
    <row r="200" spans="1:10" x14ac:dyDescent="0.25">
      <c r="A200" s="11"/>
      <c r="B200" s="17"/>
      <c r="C200" s="30"/>
      <c r="D200" s="17"/>
      <c r="E200" s="17"/>
      <c r="F200" s="25"/>
      <c r="G200" s="25">
        <f t="shared" si="0"/>
        <v>0</v>
      </c>
      <c r="H200" s="17"/>
      <c r="I200" s="17"/>
      <c r="J200" s="17"/>
    </row>
    <row r="201" spans="1:10" x14ac:dyDescent="0.25">
      <c r="A201" s="11"/>
      <c r="B201" s="17"/>
      <c r="C201" s="30"/>
      <c r="D201" s="17"/>
      <c r="E201" s="17"/>
      <c r="F201" s="25"/>
      <c r="G201" s="25">
        <f t="shared" si="0"/>
        <v>0</v>
      </c>
      <c r="H201" s="17"/>
      <c r="I201" s="17"/>
      <c r="J201" s="17"/>
    </row>
    <row r="202" spans="1:10" x14ac:dyDescent="0.25">
      <c r="A202" s="11"/>
      <c r="B202" s="17"/>
      <c r="C202" s="30"/>
      <c r="D202" s="17"/>
      <c r="E202" s="17"/>
      <c r="F202" s="25"/>
      <c r="G202" s="25">
        <f t="shared" si="0"/>
        <v>0</v>
      </c>
      <c r="H202" s="17"/>
      <c r="I202" s="17"/>
      <c r="J202" s="17"/>
    </row>
    <row r="203" spans="1:10" x14ac:dyDescent="0.25">
      <c r="A203" s="11"/>
      <c r="B203" s="17"/>
      <c r="C203" s="30"/>
      <c r="D203" s="17"/>
      <c r="E203" s="17"/>
      <c r="F203" s="25"/>
      <c r="G203" s="25">
        <f t="shared" si="0"/>
        <v>0</v>
      </c>
      <c r="H203" s="17"/>
      <c r="I203" s="17"/>
      <c r="J203" s="17"/>
    </row>
    <row r="204" spans="1:10" x14ac:dyDescent="0.25">
      <c r="A204" s="11"/>
      <c r="B204" s="17"/>
      <c r="C204" s="30"/>
      <c r="D204" s="17"/>
      <c r="E204" s="17"/>
      <c r="F204" s="25"/>
      <c r="G204" s="25">
        <f t="shared" si="0"/>
        <v>0</v>
      </c>
      <c r="H204" s="17"/>
      <c r="I204" s="17"/>
      <c r="J204" s="17"/>
    </row>
    <row r="205" spans="1:10" x14ac:dyDescent="0.25">
      <c r="A205" s="11"/>
      <c r="B205" s="17"/>
      <c r="C205" s="30"/>
      <c r="D205" s="17"/>
      <c r="E205" s="17"/>
      <c r="F205" s="25"/>
      <c r="G205" s="25">
        <f t="shared" si="0"/>
        <v>0</v>
      </c>
      <c r="H205" s="17"/>
      <c r="I205" s="17"/>
      <c r="J205" s="17"/>
    </row>
    <row r="206" spans="1:10" x14ac:dyDescent="0.25">
      <c r="A206" s="11"/>
      <c r="B206" s="17"/>
      <c r="C206" s="30"/>
      <c r="D206" s="17"/>
      <c r="E206" s="17"/>
      <c r="F206" s="25"/>
      <c r="G206" s="25">
        <f t="shared" si="0"/>
        <v>0</v>
      </c>
      <c r="H206" s="17"/>
      <c r="I206" s="17"/>
      <c r="J206" s="17"/>
    </row>
    <row r="207" spans="1:10" x14ac:dyDescent="0.25">
      <c r="A207" s="11"/>
      <c r="B207" s="17"/>
      <c r="C207" s="30"/>
      <c r="D207" s="17"/>
      <c r="E207" s="17"/>
      <c r="F207" s="25"/>
      <c r="G207" s="25">
        <f t="shared" si="0"/>
        <v>0</v>
      </c>
      <c r="H207" s="17"/>
      <c r="I207" s="17"/>
      <c r="J207" s="17"/>
    </row>
    <row r="208" spans="1:10" x14ac:dyDescent="0.25">
      <c r="A208" s="11"/>
      <c r="B208" s="17"/>
      <c r="C208" s="30"/>
      <c r="D208" s="17"/>
      <c r="E208" s="17"/>
      <c r="F208" s="25"/>
      <c r="G208" s="25">
        <f t="shared" si="0"/>
        <v>0</v>
      </c>
      <c r="H208" s="17"/>
      <c r="I208" s="17"/>
      <c r="J208" s="17"/>
    </row>
    <row r="209" spans="1:10" x14ac:dyDescent="0.25">
      <c r="A209" s="11"/>
      <c r="B209" s="17"/>
      <c r="C209" s="30"/>
      <c r="D209" s="17"/>
      <c r="E209" s="17"/>
      <c r="F209" s="25"/>
      <c r="G209" s="25">
        <f t="shared" si="0"/>
        <v>0</v>
      </c>
      <c r="H209" s="17"/>
      <c r="I209" s="17"/>
      <c r="J209" s="17"/>
    </row>
    <row r="210" spans="1:10" x14ac:dyDescent="0.25">
      <c r="A210" s="11"/>
      <c r="B210" s="17"/>
      <c r="C210" s="30"/>
      <c r="D210" s="17"/>
      <c r="E210" s="17"/>
      <c r="F210" s="25"/>
      <c r="G210" s="25">
        <f t="shared" si="0"/>
        <v>0</v>
      </c>
      <c r="H210" s="17"/>
      <c r="I210" s="17"/>
      <c r="J210" s="17"/>
    </row>
    <row r="211" spans="1:10" x14ac:dyDescent="0.25">
      <c r="A211" s="11"/>
      <c r="B211" s="17"/>
      <c r="C211" s="30"/>
      <c r="D211" s="17"/>
      <c r="E211" s="17"/>
      <c r="F211" s="25"/>
      <c r="G211" s="25">
        <f t="shared" si="0"/>
        <v>0</v>
      </c>
      <c r="H211" s="17"/>
      <c r="I211" s="17"/>
      <c r="J211" s="17"/>
    </row>
    <row r="212" spans="1:10" x14ac:dyDescent="0.25">
      <c r="A212" s="11"/>
      <c r="B212" s="17"/>
      <c r="C212" s="30"/>
      <c r="D212" s="17"/>
      <c r="E212" s="17"/>
      <c r="F212" s="25"/>
      <c r="G212" s="25">
        <f t="shared" si="0"/>
        <v>0</v>
      </c>
      <c r="H212" s="17"/>
      <c r="I212" s="17"/>
      <c r="J212" s="17"/>
    </row>
    <row r="213" spans="1:10" x14ac:dyDescent="0.25">
      <c r="A213" s="11"/>
      <c r="B213" s="17"/>
      <c r="C213" s="30"/>
      <c r="D213" s="17"/>
      <c r="E213" s="17"/>
      <c r="F213" s="25"/>
      <c r="G213" s="25">
        <f t="shared" si="0"/>
        <v>0</v>
      </c>
      <c r="H213" s="17"/>
      <c r="I213" s="17"/>
      <c r="J213" s="17"/>
    </row>
    <row r="214" spans="1:10" x14ac:dyDescent="0.25">
      <c r="A214" s="11"/>
      <c r="B214" s="17"/>
      <c r="C214" s="30"/>
      <c r="D214" s="17"/>
      <c r="E214" s="17"/>
      <c r="F214" s="25"/>
      <c r="G214" s="25">
        <f t="shared" si="0"/>
        <v>0</v>
      </c>
      <c r="H214" s="17"/>
      <c r="I214" s="17"/>
      <c r="J214" s="17"/>
    </row>
    <row r="215" spans="1:10" x14ac:dyDescent="0.25">
      <c r="A215" s="11"/>
      <c r="B215" s="17"/>
      <c r="C215" s="30"/>
      <c r="D215" s="17"/>
      <c r="E215" s="17"/>
      <c r="F215" s="25"/>
      <c r="G215" s="25">
        <f t="shared" si="0"/>
        <v>0</v>
      </c>
      <c r="H215" s="17"/>
      <c r="I215" s="17"/>
      <c r="J215" s="17"/>
    </row>
    <row r="216" spans="1:10" x14ac:dyDescent="0.25">
      <c r="A216" s="11"/>
      <c r="B216" s="17"/>
      <c r="C216" s="30"/>
      <c r="D216" s="17"/>
      <c r="E216" s="17"/>
      <c r="F216" s="25"/>
      <c r="G216" s="25">
        <f t="shared" si="0"/>
        <v>0</v>
      </c>
      <c r="H216" s="17"/>
      <c r="I216" s="17"/>
      <c r="J216" s="17"/>
    </row>
    <row r="217" spans="1:10" x14ac:dyDescent="0.25">
      <c r="A217" s="11"/>
      <c r="B217" s="17"/>
      <c r="C217" s="30"/>
      <c r="D217" s="17"/>
      <c r="E217" s="17"/>
      <c r="F217" s="25"/>
      <c r="G217" s="25">
        <f t="shared" si="0"/>
        <v>0</v>
      </c>
      <c r="H217" s="17"/>
      <c r="I217" s="17"/>
      <c r="J217" s="17"/>
    </row>
    <row r="218" spans="1:10" x14ac:dyDescent="0.25">
      <c r="A218" s="11"/>
      <c r="B218" s="17"/>
      <c r="C218" s="30"/>
      <c r="D218" s="17"/>
      <c r="E218" s="17"/>
      <c r="F218" s="25"/>
      <c r="G218" s="25">
        <f t="shared" si="0"/>
        <v>0</v>
      </c>
      <c r="H218" s="17"/>
      <c r="I218" s="17"/>
      <c r="J218" s="17"/>
    </row>
    <row r="219" spans="1:10" x14ac:dyDescent="0.25">
      <c r="A219" s="11"/>
      <c r="B219" s="17"/>
      <c r="C219" s="30"/>
      <c r="D219" s="17"/>
      <c r="E219" s="17"/>
      <c r="F219" s="25"/>
      <c r="G219" s="25">
        <f t="shared" si="0"/>
        <v>0</v>
      </c>
      <c r="H219" s="17"/>
      <c r="I219" s="17"/>
      <c r="J219" s="17"/>
    </row>
    <row r="220" spans="1:10" x14ac:dyDescent="0.25">
      <c r="A220" s="11"/>
      <c r="B220" s="17"/>
      <c r="C220" s="30"/>
      <c r="D220" s="17"/>
      <c r="E220" s="17"/>
      <c r="F220" s="25"/>
      <c r="G220" s="25">
        <f t="shared" si="0"/>
        <v>0</v>
      </c>
      <c r="H220" s="17"/>
      <c r="I220" s="17"/>
      <c r="J220" s="17"/>
    </row>
    <row r="221" spans="1:10" x14ac:dyDescent="0.25">
      <c r="A221" s="11"/>
      <c r="B221" s="17"/>
      <c r="C221" s="30"/>
      <c r="D221" s="17"/>
      <c r="E221" s="17"/>
      <c r="F221" s="25"/>
      <c r="G221" s="25">
        <f t="shared" si="0"/>
        <v>0</v>
      </c>
      <c r="H221" s="17"/>
      <c r="I221" s="17"/>
      <c r="J221" s="17"/>
    </row>
    <row r="222" spans="1:10" x14ac:dyDescent="0.25">
      <c r="A222" s="11"/>
      <c r="B222" s="17"/>
      <c r="C222" s="30"/>
      <c r="D222" s="17"/>
      <c r="E222" s="17"/>
      <c r="F222" s="25"/>
      <c r="G222" s="25">
        <f t="shared" si="0"/>
        <v>0</v>
      </c>
      <c r="H222" s="17"/>
      <c r="I222" s="17"/>
      <c r="J222" s="17"/>
    </row>
    <row r="223" spans="1:10" x14ac:dyDescent="0.25">
      <c r="A223" s="11"/>
      <c r="B223" s="17"/>
      <c r="C223" s="30"/>
      <c r="D223" s="17"/>
      <c r="E223" s="17"/>
      <c r="F223" s="25"/>
      <c r="G223" s="25">
        <f t="shared" si="0"/>
        <v>0</v>
      </c>
      <c r="H223" s="17"/>
      <c r="I223" s="17"/>
      <c r="J223" s="17"/>
    </row>
    <row r="224" spans="1:10" x14ac:dyDescent="0.25">
      <c r="A224" s="11"/>
      <c r="B224" s="17"/>
      <c r="C224" s="30"/>
      <c r="D224" s="17"/>
      <c r="E224" s="17"/>
      <c r="F224" s="25"/>
      <c r="G224" s="25">
        <f t="shared" si="0"/>
        <v>0</v>
      </c>
      <c r="H224" s="17"/>
      <c r="I224" s="17"/>
      <c r="J224" s="17"/>
    </row>
    <row r="225" spans="1:10" x14ac:dyDescent="0.25">
      <c r="A225" s="11"/>
      <c r="B225" s="17"/>
      <c r="C225" s="30"/>
      <c r="D225" s="17"/>
      <c r="E225" s="17"/>
      <c r="F225" s="25"/>
      <c r="G225" s="25">
        <f t="shared" si="0"/>
        <v>0</v>
      </c>
      <c r="H225" s="17"/>
      <c r="I225" s="17"/>
      <c r="J225" s="17"/>
    </row>
    <row r="226" spans="1:10" x14ac:dyDescent="0.25">
      <c r="A226" s="11"/>
      <c r="B226" s="17"/>
      <c r="C226" s="30"/>
      <c r="D226" s="17"/>
      <c r="E226" s="17"/>
      <c r="F226" s="25"/>
      <c r="G226" s="25">
        <f t="shared" si="0"/>
        <v>0</v>
      </c>
      <c r="H226" s="17"/>
      <c r="I226" s="17"/>
      <c r="J226" s="17"/>
    </row>
    <row r="227" spans="1:10" x14ac:dyDescent="0.25">
      <c r="A227" s="11"/>
      <c r="B227" s="17"/>
      <c r="C227" s="30"/>
      <c r="D227" s="17"/>
      <c r="E227" s="17"/>
      <c r="F227" s="25"/>
      <c r="G227" s="25">
        <f t="shared" si="0"/>
        <v>0</v>
      </c>
      <c r="H227" s="17"/>
      <c r="I227" s="17"/>
      <c r="J227" s="17"/>
    </row>
    <row r="228" spans="1:10" x14ac:dyDescent="0.25">
      <c r="A228" s="11"/>
      <c r="B228" s="17"/>
      <c r="C228" s="30"/>
      <c r="D228" s="17"/>
      <c r="E228" s="17"/>
      <c r="F228" s="25"/>
      <c r="G228" s="25">
        <f t="shared" si="0"/>
        <v>0</v>
      </c>
      <c r="H228" s="17"/>
      <c r="I228" s="17"/>
      <c r="J228" s="17"/>
    </row>
    <row r="229" spans="1:10" x14ac:dyDescent="0.25">
      <c r="A229" s="11"/>
      <c r="B229" s="17"/>
      <c r="C229" s="30"/>
      <c r="D229" s="17"/>
      <c r="E229" s="17"/>
      <c r="F229" s="25"/>
      <c r="G229" s="25">
        <f t="shared" si="0"/>
        <v>0</v>
      </c>
      <c r="H229" s="17"/>
      <c r="I229" s="17"/>
      <c r="J229" s="17"/>
    </row>
    <row r="230" spans="1:10" x14ac:dyDescent="0.25">
      <c r="A230" s="11"/>
      <c r="B230" s="17"/>
      <c r="C230" s="30"/>
      <c r="D230" s="17"/>
      <c r="E230" s="17"/>
      <c r="F230" s="25"/>
      <c r="G230" s="25">
        <f t="shared" si="0"/>
        <v>0</v>
      </c>
      <c r="H230" s="17"/>
      <c r="I230" s="17"/>
      <c r="J230" s="17"/>
    </row>
    <row r="231" spans="1:10" x14ac:dyDescent="0.25">
      <c r="A231" s="11"/>
      <c r="B231" s="17"/>
      <c r="C231" s="30"/>
      <c r="D231" s="17"/>
      <c r="E231" s="17"/>
      <c r="F231" s="25"/>
      <c r="G231" s="25">
        <f t="shared" si="0"/>
        <v>0</v>
      </c>
      <c r="H231" s="17"/>
      <c r="I231" s="17"/>
      <c r="J231" s="17"/>
    </row>
    <row r="232" spans="1:10" x14ac:dyDescent="0.25">
      <c r="A232" s="11"/>
      <c r="B232" s="17"/>
      <c r="C232" s="30"/>
      <c r="D232" s="17"/>
      <c r="E232" s="17"/>
      <c r="F232" s="25"/>
      <c r="G232" s="25">
        <f t="shared" si="0"/>
        <v>0</v>
      </c>
      <c r="H232" s="17"/>
      <c r="I232" s="17"/>
      <c r="J232" s="17"/>
    </row>
    <row r="233" spans="1:10" x14ac:dyDescent="0.25">
      <c r="A233" s="11"/>
      <c r="B233" s="17"/>
      <c r="C233" s="30"/>
      <c r="D233" s="17"/>
      <c r="E233" s="17"/>
      <c r="F233" s="25"/>
      <c r="G233" s="25">
        <f t="shared" si="0"/>
        <v>0</v>
      </c>
      <c r="H233" s="17"/>
      <c r="I233" s="17"/>
      <c r="J233" s="17"/>
    </row>
    <row r="234" spans="1:10" x14ac:dyDescent="0.25">
      <c r="A234" s="11"/>
      <c r="B234" s="17"/>
      <c r="C234" s="30"/>
      <c r="D234" s="17"/>
      <c r="E234" s="17"/>
      <c r="F234" s="25"/>
      <c r="G234" s="25">
        <f t="shared" si="0"/>
        <v>0</v>
      </c>
      <c r="H234" s="17"/>
      <c r="I234" s="17"/>
      <c r="J234" s="17"/>
    </row>
    <row r="235" spans="1:10" x14ac:dyDescent="0.25">
      <c r="A235" s="11"/>
      <c r="B235" s="17"/>
      <c r="C235" s="30"/>
      <c r="D235" s="17"/>
      <c r="E235" s="17"/>
      <c r="F235" s="25"/>
      <c r="G235" s="25">
        <f t="shared" si="0"/>
        <v>0</v>
      </c>
      <c r="H235" s="17"/>
      <c r="I235" s="17"/>
      <c r="J235" s="17"/>
    </row>
    <row r="236" spans="1:10" x14ac:dyDescent="0.25">
      <c r="A236" s="11"/>
      <c r="B236" s="17"/>
      <c r="C236" s="30"/>
      <c r="D236" s="17"/>
      <c r="E236" s="17"/>
      <c r="F236" s="25"/>
      <c r="G236" s="25">
        <f t="shared" si="0"/>
        <v>0</v>
      </c>
      <c r="H236" s="17"/>
      <c r="I236" s="17"/>
      <c r="J236" s="17"/>
    </row>
    <row r="237" spans="1:10" x14ac:dyDescent="0.25">
      <c r="A237" s="11"/>
      <c r="B237" s="17"/>
      <c r="C237" s="30"/>
      <c r="D237" s="17"/>
      <c r="E237" s="17"/>
      <c r="F237" s="25"/>
      <c r="G237" s="25">
        <f t="shared" si="0"/>
        <v>0</v>
      </c>
      <c r="H237" s="17"/>
      <c r="I237" s="17"/>
      <c r="J237" s="17"/>
    </row>
    <row r="238" spans="1:10" x14ac:dyDescent="0.25">
      <c r="A238" s="11"/>
      <c r="B238" s="17"/>
      <c r="C238" s="30"/>
      <c r="D238" s="17"/>
      <c r="E238" s="17"/>
      <c r="F238" s="25"/>
      <c r="G238" s="25">
        <f t="shared" si="0"/>
        <v>0</v>
      </c>
      <c r="H238" s="17"/>
      <c r="I238" s="17"/>
      <c r="J238" s="17"/>
    </row>
    <row r="239" spans="1:10" x14ac:dyDescent="0.25">
      <c r="A239" s="11"/>
      <c r="B239" s="17"/>
      <c r="C239" s="30"/>
      <c r="D239" s="17"/>
      <c r="E239" s="17"/>
      <c r="F239" s="25"/>
      <c r="G239" s="25">
        <f t="shared" si="0"/>
        <v>0</v>
      </c>
      <c r="H239" s="17"/>
      <c r="I239" s="17"/>
      <c r="J239" s="17"/>
    </row>
    <row r="240" spans="1:10" x14ac:dyDescent="0.25">
      <c r="A240" s="11"/>
      <c r="B240" s="17"/>
      <c r="C240" s="30"/>
      <c r="D240" s="17"/>
      <c r="E240" s="17"/>
      <c r="F240" s="25"/>
      <c r="G240" s="25">
        <f t="shared" si="0"/>
        <v>0</v>
      </c>
      <c r="H240" s="17"/>
      <c r="I240" s="17"/>
      <c r="J240" s="17"/>
    </row>
    <row r="241" spans="1:10" x14ac:dyDescent="0.25">
      <c r="A241" s="11"/>
      <c r="B241" s="17"/>
      <c r="C241" s="30"/>
      <c r="D241" s="17"/>
      <c r="E241" s="17"/>
      <c r="F241" s="25"/>
      <c r="G241" s="25">
        <f t="shared" si="0"/>
        <v>0</v>
      </c>
      <c r="H241" s="17"/>
      <c r="I241" s="17"/>
      <c r="J241" s="17"/>
    </row>
    <row r="242" spans="1:10" x14ac:dyDescent="0.25">
      <c r="A242" s="11"/>
      <c r="B242" s="17"/>
      <c r="C242" s="30"/>
      <c r="D242" s="17"/>
      <c r="E242" s="17"/>
      <c r="F242" s="25"/>
      <c r="G242" s="25">
        <f t="shared" si="0"/>
        <v>0</v>
      </c>
      <c r="H242" s="17"/>
      <c r="I242" s="17"/>
      <c r="J242" s="17"/>
    </row>
    <row r="243" spans="1:10" x14ac:dyDescent="0.25">
      <c r="A243" s="11"/>
      <c r="B243" s="17"/>
      <c r="C243" s="30"/>
      <c r="D243" s="17"/>
      <c r="E243" s="17"/>
      <c r="F243" s="25"/>
      <c r="G243" s="25">
        <f t="shared" si="0"/>
        <v>0</v>
      </c>
      <c r="H243" s="17"/>
      <c r="I243" s="17"/>
      <c r="J243" s="17"/>
    </row>
    <row r="244" spans="1:10" x14ac:dyDescent="0.25">
      <c r="A244" s="11"/>
      <c r="B244" s="17"/>
      <c r="C244" s="30"/>
      <c r="D244" s="17"/>
      <c r="E244" s="17"/>
      <c r="F244" s="25"/>
      <c r="G244" s="25">
        <f t="shared" si="0"/>
        <v>0</v>
      </c>
      <c r="H244" s="17"/>
      <c r="I244" s="17"/>
      <c r="J244" s="17"/>
    </row>
    <row r="245" spans="1:10" x14ac:dyDescent="0.25">
      <c r="A245" s="11"/>
      <c r="B245" s="17"/>
      <c r="C245" s="30"/>
      <c r="D245" s="17"/>
      <c r="E245" s="17"/>
      <c r="F245" s="25"/>
      <c r="G245" s="25">
        <f t="shared" si="0"/>
        <v>0</v>
      </c>
      <c r="H245" s="17"/>
      <c r="I245" s="17"/>
      <c r="J245" s="17"/>
    </row>
    <row r="246" spans="1:10" x14ac:dyDescent="0.25">
      <c r="A246" s="11"/>
      <c r="B246" s="17"/>
      <c r="C246" s="30"/>
      <c r="D246" s="17"/>
      <c r="E246" s="17"/>
      <c r="F246" s="25"/>
      <c r="G246" s="25">
        <f t="shared" si="0"/>
        <v>0</v>
      </c>
      <c r="H246" s="17"/>
      <c r="I246" s="17"/>
      <c r="J246" s="17"/>
    </row>
    <row r="247" spans="1:10" x14ac:dyDescent="0.25">
      <c r="A247" s="11"/>
      <c r="B247" s="17"/>
      <c r="C247" s="30"/>
      <c r="D247" s="17"/>
      <c r="E247" s="17"/>
      <c r="F247" s="25"/>
      <c r="G247" s="25">
        <f t="shared" si="0"/>
        <v>0</v>
      </c>
      <c r="H247" s="17"/>
      <c r="I247" s="17"/>
      <c r="J247" s="17"/>
    </row>
    <row r="248" spans="1:10" x14ac:dyDescent="0.25">
      <c r="A248" s="11"/>
      <c r="B248" s="17"/>
      <c r="C248" s="30"/>
      <c r="D248" s="17"/>
      <c r="E248" s="17"/>
      <c r="F248" s="25"/>
      <c r="G248" s="25">
        <f t="shared" si="0"/>
        <v>0</v>
      </c>
      <c r="H248" s="17"/>
      <c r="I248" s="17"/>
      <c r="J248" s="17"/>
    </row>
    <row r="249" spans="1:10" x14ac:dyDescent="0.25">
      <c r="A249" s="11"/>
      <c r="B249" s="17"/>
      <c r="C249" s="30"/>
      <c r="D249" s="17"/>
      <c r="E249" s="17"/>
      <c r="F249" s="25"/>
      <c r="G249" s="25">
        <f t="shared" si="0"/>
        <v>0</v>
      </c>
      <c r="H249" s="17"/>
      <c r="I249" s="17"/>
      <c r="J249" s="17"/>
    </row>
    <row r="250" spans="1:10" x14ac:dyDescent="0.25">
      <c r="A250" s="11"/>
      <c r="B250" s="17"/>
      <c r="C250" s="30"/>
      <c r="D250" s="17"/>
      <c r="E250" s="17"/>
      <c r="F250" s="25"/>
      <c r="G250" s="25">
        <f t="shared" si="0"/>
        <v>0</v>
      </c>
      <c r="H250" s="17"/>
      <c r="I250" s="17"/>
      <c r="J250" s="17"/>
    </row>
    <row r="251" spans="1:10" x14ac:dyDescent="0.25">
      <c r="A251" s="11"/>
      <c r="B251" s="17"/>
      <c r="C251" s="30"/>
      <c r="D251" s="17"/>
      <c r="E251" s="17"/>
      <c r="F251" s="25"/>
      <c r="G251" s="25">
        <f t="shared" si="0"/>
        <v>0</v>
      </c>
      <c r="H251" s="17"/>
      <c r="I251" s="17"/>
      <c r="J251" s="17"/>
    </row>
    <row r="252" spans="1:10" x14ac:dyDescent="0.25">
      <c r="A252" s="11"/>
      <c r="B252" s="17"/>
      <c r="C252" s="30"/>
      <c r="D252" s="17"/>
      <c r="E252" s="17"/>
      <c r="F252" s="25"/>
      <c r="G252" s="25">
        <f t="shared" si="0"/>
        <v>0</v>
      </c>
      <c r="H252" s="17"/>
      <c r="I252" s="17"/>
      <c r="J252" s="17"/>
    </row>
    <row r="253" spans="1:10" x14ac:dyDescent="0.25">
      <c r="A253" s="11"/>
      <c r="B253" s="17"/>
      <c r="C253" s="30"/>
      <c r="D253" s="17"/>
      <c r="E253" s="17"/>
      <c r="F253" s="25"/>
      <c r="G253" s="25">
        <f t="shared" si="0"/>
        <v>0</v>
      </c>
      <c r="H253" s="17"/>
      <c r="I253" s="17"/>
      <c r="J253" s="17"/>
    </row>
    <row r="254" spans="1:10" x14ac:dyDescent="0.25">
      <c r="A254" s="11"/>
      <c r="B254" s="17"/>
      <c r="C254" s="30"/>
      <c r="D254" s="17"/>
      <c r="E254" s="17"/>
      <c r="F254" s="25"/>
      <c r="G254" s="25">
        <f t="shared" si="0"/>
        <v>0</v>
      </c>
      <c r="H254" s="17"/>
      <c r="I254" s="17"/>
      <c r="J254" s="17"/>
    </row>
    <row r="255" spans="1:10" x14ac:dyDescent="0.25">
      <c r="A255" s="11"/>
      <c r="B255" s="17"/>
      <c r="C255" s="30"/>
      <c r="D255" s="17"/>
      <c r="E255" s="17"/>
      <c r="F255" s="25"/>
      <c r="G255" s="25">
        <f t="shared" si="0"/>
        <v>0</v>
      </c>
      <c r="H255" s="17"/>
      <c r="I255" s="17"/>
      <c r="J255" s="17"/>
    </row>
    <row r="256" spans="1:10" x14ac:dyDescent="0.25">
      <c r="A256" s="11"/>
      <c r="B256" s="17"/>
      <c r="C256" s="30"/>
      <c r="D256" s="17"/>
      <c r="E256" s="17"/>
      <c r="F256" s="25"/>
      <c r="G256" s="25">
        <f t="shared" si="0"/>
        <v>0</v>
      </c>
      <c r="H256" s="17"/>
      <c r="I256" s="17"/>
      <c r="J256" s="17"/>
    </row>
    <row r="257" spans="1:10" x14ac:dyDescent="0.25">
      <c r="A257" s="11"/>
      <c r="B257" s="17"/>
      <c r="C257" s="30"/>
      <c r="D257" s="17"/>
      <c r="E257" s="17"/>
      <c r="F257" s="25"/>
      <c r="G257" s="25">
        <f t="shared" si="0"/>
        <v>0</v>
      </c>
      <c r="H257" s="17"/>
      <c r="I257" s="17"/>
      <c r="J257" s="17"/>
    </row>
    <row r="258" spans="1:10" x14ac:dyDescent="0.25">
      <c r="A258" s="11"/>
      <c r="B258" s="17"/>
      <c r="C258" s="30"/>
      <c r="D258" s="17"/>
      <c r="E258" s="17"/>
      <c r="F258" s="25"/>
      <c r="G258" s="25">
        <f t="shared" si="0"/>
        <v>0</v>
      </c>
      <c r="H258" s="17"/>
      <c r="I258" s="17"/>
      <c r="J258" s="17"/>
    </row>
    <row r="259" spans="1:10" x14ac:dyDescent="0.25">
      <c r="A259" s="11"/>
      <c r="B259" s="17"/>
      <c r="C259" s="30"/>
      <c r="D259" s="17"/>
      <c r="E259" s="17"/>
      <c r="F259" s="25"/>
      <c r="G259" s="25">
        <f t="shared" ref="G259:G276" si="4">IF(B259="Saída", -ABS(F259), ABS(F259))</f>
        <v>0</v>
      </c>
      <c r="H259" s="17"/>
      <c r="I259" s="17"/>
      <c r="J259" s="17"/>
    </row>
    <row r="260" spans="1:10" x14ac:dyDescent="0.25">
      <c r="A260" s="11"/>
      <c r="B260" s="17"/>
      <c r="C260" s="30"/>
      <c r="D260" s="17"/>
      <c r="E260" s="17"/>
      <c r="F260" s="25"/>
      <c r="G260" s="25">
        <f t="shared" si="4"/>
        <v>0</v>
      </c>
      <c r="H260" s="17"/>
      <c r="I260" s="17"/>
      <c r="J260" s="17"/>
    </row>
    <row r="261" spans="1:10" x14ac:dyDescent="0.25">
      <c r="A261" s="11"/>
      <c r="B261" s="17"/>
      <c r="C261" s="30"/>
      <c r="D261" s="17"/>
      <c r="E261" s="17"/>
      <c r="F261" s="25"/>
      <c r="G261" s="25">
        <f t="shared" si="4"/>
        <v>0</v>
      </c>
      <c r="H261" s="17"/>
      <c r="I261" s="17"/>
      <c r="J261" s="17"/>
    </row>
    <row r="262" spans="1:10" x14ac:dyDescent="0.25">
      <c r="A262" s="11"/>
      <c r="B262" s="17"/>
      <c r="C262" s="30"/>
      <c r="D262" s="17"/>
      <c r="E262" s="17"/>
      <c r="F262" s="25"/>
      <c r="G262" s="25">
        <f t="shared" si="4"/>
        <v>0</v>
      </c>
      <c r="H262" s="17"/>
      <c r="I262" s="17"/>
      <c r="J262" s="17"/>
    </row>
    <row r="263" spans="1:10" x14ac:dyDescent="0.25">
      <c r="A263" s="11"/>
      <c r="B263" s="17"/>
      <c r="C263" s="30"/>
      <c r="D263" s="17"/>
      <c r="E263" s="17"/>
      <c r="F263" s="25"/>
      <c r="G263" s="25">
        <f t="shared" si="4"/>
        <v>0</v>
      </c>
      <c r="H263" s="17"/>
      <c r="I263" s="17"/>
      <c r="J263" s="17"/>
    </row>
    <row r="264" spans="1:10" x14ac:dyDescent="0.25">
      <c r="A264" s="11"/>
      <c r="B264" s="17"/>
      <c r="C264" s="30"/>
      <c r="D264" s="17"/>
      <c r="E264" s="17"/>
      <c r="F264" s="25"/>
      <c r="G264" s="25">
        <f t="shared" si="4"/>
        <v>0</v>
      </c>
      <c r="H264" s="17"/>
      <c r="I264" s="17"/>
      <c r="J264" s="17"/>
    </row>
    <row r="265" spans="1:10" x14ac:dyDescent="0.25">
      <c r="A265" s="11"/>
      <c r="B265" s="17"/>
      <c r="C265" s="30"/>
      <c r="D265" s="17"/>
      <c r="E265" s="17"/>
      <c r="F265" s="25"/>
      <c r="G265" s="25">
        <f t="shared" si="4"/>
        <v>0</v>
      </c>
      <c r="H265" s="17"/>
      <c r="I265" s="17"/>
      <c r="J265" s="17"/>
    </row>
    <row r="266" spans="1:10" x14ac:dyDescent="0.25">
      <c r="A266" s="11"/>
      <c r="B266" s="17"/>
      <c r="C266" s="30"/>
      <c r="D266" s="17"/>
      <c r="E266" s="17"/>
      <c r="F266" s="25"/>
      <c r="G266" s="25">
        <f t="shared" si="4"/>
        <v>0</v>
      </c>
      <c r="H266" s="17"/>
      <c r="I266" s="17"/>
      <c r="J266" s="17"/>
    </row>
    <row r="267" spans="1:10" x14ac:dyDescent="0.25">
      <c r="A267" s="11"/>
      <c r="B267" s="17"/>
      <c r="C267" s="30"/>
      <c r="D267" s="17"/>
      <c r="E267" s="17"/>
      <c r="F267" s="25"/>
      <c r="G267" s="25">
        <f t="shared" si="4"/>
        <v>0</v>
      </c>
      <c r="H267" s="17"/>
      <c r="I267" s="17"/>
      <c r="J267" s="17"/>
    </row>
    <row r="268" spans="1:10" x14ac:dyDescent="0.25">
      <c r="A268" s="11"/>
      <c r="B268" s="17"/>
      <c r="C268" s="30"/>
      <c r="D268" s="17"/>
      <c r="E268" s="17"/>
      <c r="F268" s="25"/>
      <c r="G268" s="25">
        <f t="shared" si="4"/>
        <v>0</v>
      </c>
      <c r="H268" s="17"/>
      <c r="I268" s="17"/>
      <c r="J268" s="17"/>
    </row>
    <row r="269" spans="1:10" x14ac:dyDescent="0.25">
      <c r="A269" s="11"/>
      <c r="B269" s="17"/>
      <c r="C269" s="30"/>
      <c r="D269" s="17"/>
      <c r="E269" s="17"/>
      <c r="F269" s="25"/>
      <c r="G269" s="25">
        <f t="shared" si="4"/>
        <v>0</v>
      </c>
      <c r="H269" s="17"/>
      <c r="I269" s="17"/>
      <c r="J269" s="17"/>
    </row>
    <row r="270" spans="1:10" x14ac:dyDescent="0.25">
      <c r="A270" s="11"/>
      <c r="B270" s="17"/>
      <c r="C270" s="30"/>
      <c r="D270" s="17"/>
      <c r="E270" s="17"/>
      <c r="F270" s="25"/>
      <c r="G270" s="25">
        <f t="shared" si="4"/>
        <v>0</v>
      </c>
      <c r="H270" s="17"/>
      <c r="I270" s="17"/>
      <c r="J270" s="17"/>
    </row>
    <row r="271" spans="1:10" x14ac:dyDescent="0.25">
      <c r="A271" s="11"/>
      <c r="B271" s="17"/>
      <c r="C271" s="30"/>
      <c r="D271" s="17"/>
      <c r="E271" s="17"/>
      <c r="F271" s="25"/>
      <c r="G271" s="25">
        <f t="shared" si="4"/>
        <v>0</v>
      </c>
      <c r="H271" s="17"/>
      <c r="I271" s="17"/>
      <c r="J271" s="17"/>
    </row>
    <row r="272" spans="1:10" x14ac:dyDescent="0.25">
      <c r="A272" s="11"/>
      <c r="B272" s="17"/>
      <c r="C272" s="30"/>
      <c r="D272" s="17"/>
      <c r="E272" s="17"/>
      <c r="F272" s="25"/>
      <c r="G272" s="25">
        <f t="shared" si="4"/>
        <v>0</v>
      </c>
      <c r="H272" s="17"/>
      <c r="I272" s="17"/>
      <c r="J272" s="17"/>
    </row>
    <row r="273" spans="1:10" x14ac:dyDescent="0.25">
      <c r="A273" s="11"/>
      <c r="B273" s="17"/>
      <c r="C273" s="30"/>
      <c r="D273" s="17"/>
      <c r="E273" s="17"/>
      <c r="F273" s="25"/>
      <c r="G273" s="25">
        <f t="shared" si="4"/>
        <v>0</v>
      </c>
      <c r="H273" s="17"/>
      <c r="I273" s="17"/>
      <c r="J273" s="17"/>
    </row>
    <row r="274" spans="1:10" x14ac:dyDescent="0.25">
      <c r="A274" s="11"/>
      <c r="B274" s="17"/>
      <c r="C274" s="30"/>
      <c r="D274" s="17"/>
      <c r="E274" s="17"/>
      <c r="F274" s="25"/>
      <c r="G274" s="25">
        <f t="shared" si="4"/>
        <v>0</v>
      </c>
      <c r="H274" s="17"/>
      <c r="I274" s="17"/>
      <c r="J274" s="17"/>
    </row>
    <row r="275" spans="1:10" x14ac:dyDescent="0.25">
      <c r="A275" s="11"/>
      <c r="B275" s="17"/>
      <c r="C275" s="30"/>
      <c r="D275" s="17"/>
      <c r="E275" s="17"/>
      <c r="F275" s="25"/>
      <c r="G275" s="25">
        <f t="shared" si="4"/>
        <v>0</v>
      </c>
      <c r="H275" s="17"/>
      <c r="I275" s="17"/>
      <c r="J275" s="17"/>
    </row>
    <row r="276" spans="1:10" x14ac:dyDescent="0.25">
      <c r="A276" s="11"/>
      <c r="B276" s="17"/>
      <c r="C276" s="30"/>
      <c r="D276" s="17"/>
      <c r="E276" s="17"/>
      <c r="F276" s="25"/>
      <c r="G276" s="25">
        <f t="shared" si="4"/>
        <v>0</v>
      </c>
      <c r="H276" s="17"/>
      <c r="I276" s="17"/>
      <c r="J276" s="17"/>
    </row>
    <row r="277" spans="1:10" x14ac:dyDescent="0.25">
      <c r="A277" s="17"/>
      <c r="B277" s="17"/>
      <c r="C277" s="30"/>
      <c r="D277" s="17"/>
      <c r="E277" s="17"/>
      <c r="F277" s="17"/>
      <c r="G277" s="17"/>
      <c r="H277" s="17"/>
      <c r="I277" s="17"/>
    </row>
    <row r="278" spans="1:10" x14ac:dyDescent="0.25">
      <c r="A278" s="17"/>
      <c r="B278" s="17"/>
      <c r="C278" s="30"/>
      <c r="D278" s="17"/>
      <c r="E278" s="17"/>
      <c r="F278" s="17"/>
      <c r="G278" s="17"/>
      <c r="H278" s="17"/>
      <c r="I278" s="17"/>
    </row>
    <row r="279" spans="1:10" x14ac:dyDescent="0.25">
      <c r="A279" s="17"/>
      <c r="B279" s="17"/>
      <c r="C279" s="30"/>
      <c r="D279" s="17"/>
      <c r="E279" s="17"/>
      <c r="F279" s="17"/>
      <c r="G279" s="17"/>
      <c r="H279" s="17"/>
      <c r="I279" s="17"/>
    </row>
    <row r="280" spans="1:10" x14ac:dyDescent="0.25">
      <c r="A280" s="17"/>
      <c r="B280" s="17"/>
      <c r="C280" s="30"/>
      <c r="D280" s="17"/>
      <c r="E280" s="17"/>
      <c r="F280" s="17"/>
      <c r="G280" s="17"/>
      <c r="H280" s="17"/>
      <c r="I280" s="17"/>
    </row>
    <row r="281" spans="1:10" x14ac:dyDescent="0.25">
      <c r="A281" s="17"/>
      <c r="B281" s="17"/>
      <c r="C281" s="30"/>
      <c r="D281" s="17"/>
      <c r="E281" s="17"/>
      <c r="F281" s="17"/>
      <c r="G281" s="17"/>
      <c r="H281" s="17"/>
      <c r="I281" s="17"/>
    </row>
    <row r="282" spans="1:10" x14ac:dyDescent="0.25">
      <c r="A282" s="17"/>
      <c r="B282" s="17"/>
      <c r="C282" s="30"/>
      <c r="D282" s="17"/>
      <c r="E282" s="17"/>
      <c r="F282" s="17"/>
      <c r="G282" s="17"/>
      <c r="H282" s="17"/>
      <c r="I282" s="17"/>
    </row>
    <row r="283" spans="1:10" x14ac:dyDescent="0.25">
      <c r="A283" s="17"/>
      <c r="B283" s="17"/>
      <c r="C283" s="30"/>
      <c r="D283" s="17"/>
      <c r="E283" s="17"/>
      <c r="F283" s="17"/>
      <c r="G283" s="17"/>
      <c r="H283" s="17"/>
      <c r="I283" s="17"/>
    </row>
    <row r="284" spans="1:10" x14ac:dyDescent="0.25">
      <c r="A284" s="17"/>
      <c r="B284" s="17"/>
      <c r="C284" s="30"/>
      <c r="D284" s="17"/>
      <c r="E284" s="17"/>
      <c r="F284" s="17"/>
      <c r="G284" s="17"/>
      <c r="H284" s="17"/>
      <c r="I284" s="17"/>
    </row>
    <row r="285" spans="1:10" x14ac:dyDescent="0.25">
      <c r="A285" s="17"/>
      <c r="B285" s="17"/>
      <c r="C285" s="30"/>
      <c r="D285" s="17"/>
      <c r="E285" s="17"/>
      <c r="F285" s="17"/>
      <c r="G285" s="17"/>
      <c r="H285" s="17"/>
      <c r="I285" s="17"/>
    </row>
    <row r="286" spans="1:10" x14ac:dyDescent="0.25">
      <c r="A286" s="17"/>
      <c r="B286" s="17"/>
      <c r="C286" s="30"/>
      <c r="D286" s="17"/>
      <c r="E286" s="17"/>
      <c r="F286" s="17"/>
      <c r="G286" s="17"/>
      <c r="H286" s="17"/>
      <c r="I286" s="17"/>
    </row>
    <row r="287" spans="1:10" x14ac:dyDescent="0.25">
      <c r="A287" s="17"/>
      <c r="B287" s="17"/>
      <c r="C287" s="30"/>
      <c r="D287" s="17"/>
      <c r="E287" s="17"/>
      <c r="F287" s="17"/>
      <c r="G287" s="17"/>
      <c r="H287" s="17"/>
      <c r="I287" s="17"/>
    </row>
    <row r="288" spans="1:10" x14ac:dyDescent="0.25">
      <c r="A288" s="17"/>
      <c r="B288" s="17"/>
      <c r="C288" s="30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30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30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30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30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30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30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30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30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30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30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30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30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30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30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30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30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30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30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30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30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30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30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30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30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30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30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30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30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30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30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30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30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30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30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30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30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30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30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30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30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30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30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30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30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30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30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30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30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30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30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30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30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30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30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30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30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30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30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30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30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30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30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30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30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30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30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30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30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30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30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30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30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30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30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30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30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30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30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30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30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30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30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30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30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30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30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30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30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30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30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30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30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30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30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30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30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30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30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30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30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30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30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30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30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30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30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30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30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30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30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30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30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30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30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30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30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30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30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30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30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30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30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30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30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30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30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30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30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30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30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30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30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30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30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30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30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30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30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30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30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30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30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30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30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30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30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30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30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30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30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30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30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30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30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30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30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30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30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30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30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30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30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30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30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30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30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30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30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30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30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30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30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30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30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30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30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30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30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30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30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30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30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30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30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30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30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30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30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30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30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30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30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30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30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30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30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30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30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30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30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30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30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30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30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30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30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30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30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30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30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30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30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30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30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30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30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30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30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30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30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30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30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30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30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30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30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30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30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30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30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30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30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30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30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30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30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30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30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30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30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30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30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30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30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30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30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30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30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30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30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30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30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30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30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30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30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30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30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30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30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30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30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30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30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30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30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30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30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30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30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30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30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30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30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30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30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30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30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30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30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30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30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30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30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30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30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30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30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30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30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30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30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30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30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30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30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30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30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30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30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30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30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30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30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30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30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30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30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30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30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30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30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30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30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30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30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30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30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30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30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30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30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30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30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30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30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30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30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30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30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30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30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30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30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30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30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30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30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30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30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30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30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30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30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30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30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30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30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30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30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30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30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30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30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30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30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30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30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30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30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30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30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30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30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30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30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30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30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30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30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30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30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30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30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30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30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30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30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30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30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30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30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30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30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30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30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30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30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30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30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30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30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30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30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30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30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30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30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30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30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30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30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30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30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30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30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30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30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30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30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30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30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30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30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30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30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30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30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30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30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30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30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30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30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30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30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30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30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30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30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30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30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30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30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30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30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30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30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30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30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30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30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30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30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30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30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30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30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30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30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30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30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30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30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30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30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30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30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30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30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30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30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30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30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30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30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30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30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30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30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30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30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30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30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30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30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30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30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30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30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30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30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30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30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30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30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30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30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30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30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30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30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30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30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30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30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30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30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30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30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30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30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30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30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30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30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30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30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30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30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30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30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30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30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30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30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30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30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30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30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30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30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30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30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30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30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30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30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30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30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30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30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30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30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30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30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30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30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30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30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30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30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30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30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30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30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30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30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30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30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30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30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30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30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30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30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30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30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30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30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30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30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30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30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30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30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30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30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30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30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30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30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30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30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30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30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30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30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30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30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30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30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30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30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30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30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30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30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30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30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30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30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30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30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30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30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30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30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30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30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30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30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30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30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30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30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30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30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30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30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30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30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30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30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30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30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30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30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30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30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30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30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30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30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30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30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30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30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30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30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30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30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30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30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30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30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30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30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30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30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30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30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30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30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30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30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30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30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30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30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30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30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30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30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30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30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30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30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30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30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30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30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30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30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30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30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30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30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30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30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30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30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30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30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30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30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30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30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30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30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30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30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30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30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30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30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30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30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30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30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30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30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30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30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30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30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30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30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30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30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30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30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30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30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30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30"/>
      <c r="D994" s="17"/>
      <c r="E994" s="17"/>
      <c r="F994" s="17"/>
      <c r="G994" s="17"/>
      <c r="H994" s="17"/>
    </row>
    <row r="995" spans="1:9" x14ac:dyDescent="0.25">
      <c r="A995" s="17"/>
      <c r="B995" s="17"/>
      <c r="C995" s="30"/>
      <c r="D995" s="17"/>
      <c r="E995" s="17"/>
      <c r="F995" s="17"/>
      <c r="G995" s="17"/>
      <c r="H995" s="17"/>
    </row>
    <row r="996" spans="1:9" x14ac:dyDescent="0.25">
      <c r="A996" s="17"/>
      <c r="B996" s="17"/>
      <c r="C996" s="30"/>
      <c r="D996" s="17"/>
      <c r="E996" s="17"/>
      <c r="F996" s="17"/>
      <c r="G996" s="17"/>
      <c r="H996" s="17"/>
    </row>
    <row r="997" spans="1:9" x14ac:dyDescent="0.25">
      <c r="A997" s="17"/>
      <c r="B997" s="17"/>
      <c r="C997" s="30"/>
      <c r="D997" s="17"/>
      <c r="E997" s="17"/>
      <c r="F997" s="17"/>
      <c r="G997" s="17"/>
      <c r="H997" s="17"/>
    </row>
    <row r="998" spans="1:9" x14ac:dyDescent="0.25">
      <c r="A998" s="17"/>
      <c r="B998" s="17"/>
      <c r="C998" s="30"/>
      <c r="D998" s="17"/>
      <c r="E998" s="17"/>
      <c r="F998" s="17"/>
      <c r="G998" s="17"/>
      <c r="H998" s="17"/>
    </row>
    <row r="999" spans="1:9" x14ac:dyDescent="0.25">
      <c r="A999" s="17"/>
      <c r="B999" s="17"/>
      <c r="C999" s="30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30"/>
      <c r="D1000" s="17"/>
      <c r="E1000" s="17"/>
      <c r="F1000" s="17"/>
      <c r="G1000" s="17"/>
      <c r="H1000" s="17"/>
    </row>
  </sheetData>
  <autoFilter ref="E1:E1000" xr:uid="{00000000-0009-0000-0000-00000D000000}"/>
  <conditionalFormatting sqref="G2:G276">
    <cfRule type="expression" dxfId="5" priority="1">
      <formula>G2&lt;0</formula>
    </cfRule>
    <cfRule type="expression" dxfId="4" priority="2">
      <formula>G2&gt;0</formula>
    </cfRule>
  </conditionalFormatting>
  <dataValidations count="1">
    <dataValidation type="list" allowBlank="1" showErrorMessage="1" sqref="C2:C1000" xr:uid="{00000000-0002-0000-0D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D00-000000000000}">
          <x14:formula1>
            <xm:f>CATEGORIASCONFIGS!$E$2:$E$35</xm:f>
          </x14:formula1>
          <xm:sqref>E2:E276</xm:sqref>
        </x14:dataValidation>
        <x14:dataValidation type="list" allowBlank="1" showErrorMessage="1" xr:uid="{00000000-0002-0000-0D00-000002000000}">
          <x14:formula1>
            <xm:f>CATEGORIASCONFIGS!$C$2:$C$8</xm:f>
          </x14:formula1>
          <xm:sqref>D2:D276</xm:sqref>
        </x14:dataValidation>
        <x14:dataValidation type="list" allowBlank="1" showErrorMessage="1" xr:uid="{00000000-0002-0000-0D00-000003000000}">
          <x14:formula1>
            <xm:f>CATEGORIASCONFIGS!$A$2:$A$4</xm:f>
          </x14:formula1>
          <xm:sqref>B2:B276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9" max="9" width="17.33203125" customWidth="1"/>
    <col min="10" max="10" width="8.21875" customWidth="1"/>
    <col min="11" max="12" width="19.77734375" customWidth="1"/>
    <col min="13" max="13" width="10.109375" customWidth="1"/>
    <col min="15" max="15" width="11.44140625" customWidth="1"/>
    <col min="16" max="16" width="13.33203125" customWidth="1"/>
    <col min="17" max="17" width="10.88671875" customWidth="1"/>
    <col min="18" max="18" width="10.109375" customWidth="1"/>
    <col min="19" max="19" width="10.6640625" customWidth="1"/>
  </cols>
  <sheetData>
    <row r="1" spans="1:39" x14ac:dyDescent="0.25">
      <c r="A1" s="14" t="s">
        <v>156</v>
      </c>
      <c r="B1" s="14" t="s">
        <v>9</v>
      </c>
      <c r="C1" s="45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5" t="s">
        <v>875</v>
      </c>
      <c r="J1" s="5" t="s">
        <v>6</v>
      </c>
      <c r="K1" s="14"/>
      <c r="L1" s="14" t="s">
        <v>160</v>
      </c>
      <c r="M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46337.928438831019</v>
      </c>
      <c r="B2" s="17" t="s">
        <v>165</v>
      </c>
      <c r="C2" s="30" t="s">
        <v>733</v>
      </c>
      <c r="D2" s="17" t="s">
        <v>737</v>
      </c>
      <c r="E2" s="17" t="s">
        <v>147</v>
      </c>
      <c r="F2" s="25">
        <v>24.92</v>
      </c>
      <c r="G2" s="25">
        <f>IF(B2="Saída", -ABS(F2), ABS(F2))</f>
        <v>-24.92</v>
      </c>
      <c r="H2" s="17" t="s">
        <v>896</v>
      </c>
      <c r="I2" s="17"/>
      <c r="J2" s="17"/>
      <c r="K2" s="17"/>
      <c r="L2" s="17" t="s">
        <v>162</v>
      </c>
      <c r="M2" s="25">
        <f>SUMIF(B:B,"Entrada",G:G)</f>
        <v>8362.6</v>
      </c>
      <c r="AL2" t="s">
        <v>1005</v>
      </c>
      <c r="AM2">
        <f>SUMIFS($F:$F,$X:$X,"Entrada",$Y:$Y,"Receita")+SUMIFS($F:$F,$B:$B,"Entrada",$X:$X,"")</f>
        <v>8362.6</v>
      </c>
    </row>
    <row r="3" spans="1:39" x14ac:dyDescent="0.25">
      <c r="A3" s="11">
        <v>46346.701971956019</v>
      </c>
      <c r="B3" s="17" t="s">
        <v>165</v>
      </c>
      <c r="C3" s="30" t="s">
        <v>733</v>
      </c>
      <c r="D3" s="17" t="s">
        <v>737</v>
      </c>
      <c r="E3" s="17" t="s">
        <v>149</v>
      </c>
      <c r="F3" s="25">
        <v>215.13</v>
      </c>
      <c r="G3" s="25">
        <f>IF(B3="Saída",-ABS(F3),ABS(F3))</f>
        <v>-215.13</v>
      </c>
      <c r="H3" s="17" t="s">
        <v>889</v>
      </c>
      <c r="I3" s="17"/>
      <c r="J3" s="17"/>
      <c r="K3" s="17"/>
      <c r="L3" s="17" t="s">
        <v>164</v>
      </c>
      <c r="M3" s="25">
        <f>SUMIF(B:B,"Saída",G:G)</f>
        <v>-4050.5299999999997</v>
      </c>
      <c r="AL3" t="s">
        <v>1006</v>
      </c>
      <c r="AM3">
        <f>SUMIFS($F:$F,$X:$X,"Saída",$Y:$Y,"Despesa")+SUMIFS($F:$F,$B:$B,"Saída",$X:$X,"",$D:$D,"&lt;&gt;Investimentos",$D:$D,"&lt;&gt;Sonhos")</f>
        <v>3800.5299999999997</v>
      </c>
    </row>
    <row r="4" spans="1:39" x14ac:dyDescent="0.25">
      <c r="A4" s="39">
        <v>46327.920671296299</v>
      </c>
      <c r="B4" s="17" t="s">
        <v>165</v>
      </c>
      <c r="C4" s="17" t="s">
        <v>166</v>
      </c>
      <c r="D4" s="17" t="s">
        <v>113</v>
      </c>
      <c r="E4" s="17" t="s">
        <v>129</v>
      </c>
      <c r="F4" s="25">
        <v>24.9</v>
      </c>
      <c r="G4" s="25">
        <f t="shared" ref="G4:G8" si="0">IF(B4="Saída", -ABS(F4), ABS(F4))</f>
        <v>-24.9</v>
      </c>
      <c r="H4" s="17" t="s">
        <v>753</v>
      </c>
      <c r="I4" s="17"/>
      <c r="J4" s="17"/>
      <c r="K4" s="17"/>
      <c r="L4" s="17" t="s">
        <v>224</v>
      </c>
      <c r="M4" s="25">
        <f>M2 + M3</f>
        <v>4312.0700000000006</v>
      </c>
      <c r="AL4" t="s">
        <v>1007</v>
      </c>
      <c r="AM4">
        <f>SUMIFS($F:$F,$X:$X,"Saída",$Y:$Y,"Despesa",$AB:$AB,"Essencial")+SUMIFS($F:$F,$B:$B,"Saída",$X:$X,"",$D:$D,"Essencial")</f>
        <v>3417.0199999999995</v>
      </c>
    </row>
    <row r="5" spans="1:39" x14ac:dyDescent="0.25">
      <c r="A5" s="39">
        <v>46327.920671296299</v>
      </c>
      <c r="B5" s="17" t="s">
        <v>165</v>
      </c>
      <c r="C5" s="17"/>
      <c r="D5" s="17" t="s">
        <v>113</v>
      </c>
      <c r="E5" s="17" t="s">
        <v>147</v>
      </c>
      <c r="F5" s="25">
        <v>399.9</v>
      </c>
      <c r="G5" s="25">
        <f t="shared" si="0"/>
        <v>-399.9</v>
      </c>
      <c r="H5" s="17" t="s">
        <v>755</v>
      </c>
      <c r="I5" s="17"/>
      <c r="J5" s="17"/>
      <c r="AL5" t="s">
        <v>1008</v>
      </c>
      <c r="AM5">
        <f>SUMIFS($F:$F,$X:$X,"Saída",$Y:$Y,"Despesa",$AB:$AB,"Não essencial")+SUMIFS($F:$F,$B:$B,"Saída",$X:$X,"",$D:$D,"Não essencial")</f>
        <v>383.51</v>
      </c>
    </row>
    <row r="6" spans="1:39" x14ac:dyDescent="0.25">
      <c r="A6" s="39">
        <v>46327.920671296299</v>
      </c>
      <c r="B6" s="17" t="s">
        <v>165</v>
      </c>
      <c r="C6" s="17"/>
      <c r="D6" s="17" t="s">
        <v>113</v>
      </c>
      <c r="E6" s="17" t="s">
        <v>124</v>
      </c>
      <c r="F6" s="25">
        <v>294.32</v>
      </c>
      <c r="G6" s="25">
        <f t="shared" si="0"/>
        <v>-294.32</v>
      </c>
      <c r="H6" s="17" t="s">
        <v>757</v>
      </c>
      <c r="I6" s="17"/>
      <c r="J6" s="17"/>
      <c r="AL6" t="s">
        <v>120</v>
      </c>
      <c r="AM6">
        <f>SUMIFS($F:$F,$X:$X,"Saída",$Y:$Y,"Investimento")+SUMIFS($F:$F,$B:$B,"Saída",$X:$X,"",$D:$D,"Investimentos")</f>
        <v>250</v>
      </c>
    </row>
    <row r="7" spans="1:39" x14ac:dyDescent="0.25">
      <c r="A7" s="39">
        <v>46327.920671296299</v>
      </c>
      <c r="B7" s="17" t="s">
        <v>165</v>
      </c>
      <c r="C7" s="17"/>
      <c r="D7" s="17" t="s">
        <v>113</v>
      </c>
      <c r="E7" s="17" t="s">
        <v>124</v>
      </c>
      <c r="F7" s="25">
        <v>1500</v>
      </c>
      <c r="G7" s="25">
        <f t="shared" si="0"/>
        <v>-1500</v>
      </c>
      <c r="H7" s="17" t="s">
        <v>759</v>
      </c>
      <c r="I7" s="17"/>
      <c r="J7" s="14"/>
      <c r="K7" s="14"/>
      <c r="L7" s="14" t="s">
        <v>172</v>
      </c>
      <c r="M7" s="14" t="s">
        <v>173</v>
      </c>
      <c r="O7" s="14" t="s">
        <v>172</v>
      </c>
      <c r="P7" s="14" t="s">
        <v>174</v>
      </c>
      <c r="Q7" s="14" t="s">
        <v>175</v>
      </c>
      <c r="R7" s="14" t="s">
        <v>173</v>
      </c>
      <c r="S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39">
        <v>46327.920671296299</v>
      </c>
      <c r="B8" s="17" t="s">
        <v>165</v>
      </c>
      <c r="C8" s="17"/>
      <c r="D8" s="17" t="s">
        <v>113</v>
      </c>
      <c r="E8" s="17" t="s">
        <v>147</v>
      </c>
      <c r="F8" s="25">
        <v>836.2</v>
      </c>
      <c r="G8" s="25">
        <f t="shared" si="0"/>
        <v>-836.2</v>
      </c>
      <c r="H8" s="17" t="s">
        <v>761</v>
      </c>
      <c r="I8" s="17"/>
      <c r="J8" s="17"/>
      <c r="K8" s="17"/>
      <c r="L8" s="17" t="s">
        <v>113</v>
      </c>
      <c r="M8" s="25">
        <f t="shared" ref="M8:M11" si="1">SUMIF($D:$D, L8, $F:$F)</f>
        <v>3417.0199999999995</v>
      </c>
      <c r="O8" s="17" t="s">
        <v>113</v>
      </c>
      <c r="P8" s="25">
        <f>M2*Q8</f>
        <v>3763.17</v>
      </c>
      <c r="Q8" s="31">
        <v>0.45</v>
      </c>
      <c r="R8" s="25">
        <f t="shared" ref="R8:R11" si="2">ABS(SUMIF(D:D, O8, F:F))</f>
        <v>3417.0199999999995</v>
      </c>
      <c r="S8" s="25">
        <f t="shared" ref="S8:S11" si="3">R8 - P8</f>
        <v>-346.15000000000055</v>
      </c>
      <c r="AL8" t="s">
        <v>1010</v>
      </c>
      <c r="AM8">
        <f>SUMIFS($F:$F,$X:$X,"Entrada")-SUMIFS($F:$F,$X:$X,"Saída")+SUMIFS($F:$F,$B:$B,"Entrada",$X:$X,"")-SUMIFS($F:$F,$B:$B,"Saída",$X:$X,"")</f>
        <v>4312.0700000000006</v>
      </c>
    </row>
    <row r="9" spans="1:39" x14ac:dyDescent="0.25">
      <c r="A9" s="39">
        <v>46327.920671296299</v>
      </c>
      <c r="B9" s="17" t="s">
        <v>165</v>
      </c>
      <c r="C9" s="17"/>
      <c r="D9" s="17" t="s">
        <v>120</v>
      </c>
      <c r="E9" s="17" t="s">
        <v>127</v>
      </c>
      <c r="F9" s="25">
        <v>250</v>
      </c>
      <c r="G9" s="25">
        <f>IF(B9="Saída",-ABS(F9),ABS(F9))</f>
        <v>-250</v>
      </c>
      <c r="H9" s="17"/>
      <c r="I9" s="17"/>
      <c r="J9" s="17"/>
      <c r="K9" s="17"/>
      <c r="L9" s="17" t="s">
        <v>117</v>
      </c>
      <c r="M9" s="25">
        <f t="shared" si="1"/>
        <v>383.51</v>
      </c>
      <c r="O9" s="17" t="s">
        <v>117</v>
      </c>
      <c r="P9" s="25">
        <f>M2*Q9</f>
        <v>1672.5200000000002</v>
      </c>
      <c r="Q9" s="31">
        <v>0.2</v>
      </c>
      <c r="R9" s="25">
        <f t="shared" si="2"/>
        <v>383.51</v>
      </c>
      <c r="S9" s="25">
        <f t="shared" si="3"/>
        <v>-1289.0100000000002</v>
      </c>
    </row>
    <row r="10" spans="1:39" x14ac:dyDescent="0.25">
      <c r="A10" s="39">
        <v>46327.523414351854</v>
      </c>
      <c r="B10" s="17" t="s">
        <v>776</v>
      </c>
      <c r="C10" s="17" t="s">
        <v>166</v>
      </c>
      <c r="D10" s="17" t="s">
        <v>126</v>
      </c>
      <c r="E10" s="17"/>
      <c r="F10" s="16">
        <v>8362.6</v>
      </c>
      <c r="G10" s="25">
        <f t="shared" ref="G10:G264" si="4">IF(B10="Saída", -ABS(F10), ABS(F10))</f>
        <v>8362.6</v>
      </c>
      <c r="H10" s="17" t="s">
        <v>882</v>
      </c>
      <c r="I10" s="17"/>
      <c r="J10" s="17"/>
      <c r="K10" s="17"/>
      <c r="L10" s="17" t="s">
        <v>120</v>
      </c>
      <c r="M10" s="25">
        <f t="shared" si="1"/>
        <v>250</v>
      </c>
      <c r="O10" s="17" t="s">
        <v>120</v>
      </c>
      <c r="P10" s="25">
        <f>M2*Q10</f>
        <v>2508.7800000000002</v>
      </c>
      <c r="Q10" s="31">
        <v>0.3</v>
      </c>
      <c r="R10" s="25">
        <f t="shared" si="2"/>
        <v>250</v>
      </c>
      <c r="S10" s="25">
        <f t="shared" si="3"/>
        <v>-2258.7800000000002</v>
      </c>
    </row>
    <row r="11" spans="1:39" x14ac:dyDescent="0.25">
      <c r="A11" s="39">
        <v>46329.632777777777</v>
      </c>
      <c r="B11" s="17" t="s">
        <v>165</v>
      </c>
      <c r="C11" s="30" t="s">
        <v>166</v>
      </c>
      <c r="D11" s="17" t="s">
        <v>737</v>
      </c>
      <c r="E11" s="17" t="s">
        <v>152</v>
      </c>
      <c r="F11" s="25">
        <v>80.010000000000005</v>
      </c>
      <c r="G11" s="25">
        <f t="shared" si="4"/>
        <v>-80.010000000000005</v>
      </c>
      <c r="H11" s="17" t="s">
        <v>929</v>
      </c>
      <c r="I11" s="17"/>
      <c r="J11" s="17"/>
      <c r="K11" s="17"/>
      <c r="L11" s="17" t="s">
        <v>123</v>
      </c>
      <c r="M11" s="25">
        <f t="shared" si="1"/>
        <v>0</v>
      </c>
      <c r="O11" s="17" t="s">
        <v>123</v>
      </c>
      <c r="P11" s="25">
        <f>M2*Q11</f>
        <v>418.13000000000005</v>
      </c>
      <c r="Q11" s="31">
        <v>0.05</v>
      </c>
      <c r="R11" s="25">
        <f t="shared" si="2"/>
        <v>0</v>
      </c>
      <c r="S11" s="25">
        <f t="shared" si="3"/>
        <v>-418.13000000000005</v>
      </c>
    </row>
    <row r="12" spans="1:39" x14ac:dyDescent="0.25">
      <c r="A12" s="39">
        <v>46331.632777777777</v>
      </c>
      <c r="B12" s="17" t="s">
        <v>165</v>
      </c>
      <c r="C12" s="30" t="s">
        <v>166</v>
      </c>
      <c r="D12" s="17" t="s">
        <v>113</v>
      </c>
      <c r="E12" s="17" t="s">
        <v>147</v>
      </c>
      <c r="F12" s="25">
        <v>100</v>
      </c>
      <c r="G12" s="25">
        <f t="shared" si="4"/>
        <v>-100</v>
      </c>
      <c r="H12" s="17" t="s">
        <v>930</v>
      </c>
      <c r="I12" s="17"/>
      <c r="J12" s="17"/>
    </row>
    <row r="13" spans="1:39" x14ac:dyDescent="0.25">
      <c r="A13" s="11">
        <v>46350.470946226851</v>
      </c>
      <c r="B13" s="17" t="s">
        <v>165</v>
      </c>
      <c r="C13" s="30" t="s">
        <v>166</v>
      </c>
      <c r="D13" s="17" t="s">
        <v>737</v>
      </c>
      <c r="E13" s="17" t="s">
        <v>129</v>
      </c>
      <c r="F13" s="25">
        <v>63.45</v>
      </c>
      <c r="G13" s="25">
        <f t="shared" si="4"/>
        <v>-63.45</v>
      </c>
      <c r="H13" s="17" t="s">
        <v>946</v>
      </c>
      <c r="I13" s="17"/>
      <c r="J13" s="17"/>
    </row>
    <row r="14" spans="1:39" x14ac:dyDescent="0.25">
      <c r="A14" s="11">
        <v>46350.474403645829</v>
      </c>
      <c r="B14" s="17" t="s">
        <v>165</v>
      </c>
      <c r="C14" s="30" t="s">
        <v>166</v>
      </c>
      <c r="D14" s="17" t="s">
        <v>113</v>
      </c>
      <c r="E14" s="17" t="s">
        <v>124</v>
      </c>
      <c r="F14" s="25">
        <v>261.7</v>
      </c>
      <c r="G14" s="25">
        <f t="shared" si="4"/>
        <v>-261.7</v>
      </c>
      <c r="H14" s="17" t="s">
        <v>167</v>
      </c>
      <c r="I14" s="17"/>
      <c r="J14" s="17"/>
    </row>
    <row r="15" spans="1:39" x14ac:dyDescent="0.25">
      <c r="A15" s="11"/>
      <c r="B15" s="17"/>
      <c r="C15" s="30"/>
      <c r="D15" s="17"/>
      <c r="E15" s="17"/>
      <c r="F15" s="25"/>
      <c r="G15" s="25">
        <f t="shared" si="4"/>
        <v>0</v>
      </c>
      <c r="H15" s="17"/>
      <c r="I15" s="17"/>
      <c r="J15" s="17"/>
    </row>
    <row r="16" spans="1:39" x14ac:dyDescent="0.25">
      <c r="A16" s="11"/>
      <c r="B16" s="17"/>
      <c r="C16" s="30"/>
      <c r="D16" s="17"/>
      <c r="E16" s="17"/>
      <c r="F16" s="25"/>
      <c r="G16" s="25">
        <f t="shared" si="4"/>
        <v>0</v>
      </c>
      <c r="H16" s="17"/>
      <c r="I16" s="17"/>
      <c r="J16" s="17"/>
    </row>
    <row r="17" spans="1:10" x14ac:dyDescent="0.25">
      <c r="A17" s="11"/>
      <c r="B17" s="17"/>
      <c r="C17" s="30"/>
      <c r="D17" s="17"/>
      <c r="E17" s="17"/>
      <c r="F17" s="25"/>
      <c r="G17" s="25">
        <f t="shared" si="4"/>
        <v>0</v>
      </c>
      <c r="H17" s="17"/>
      <c r="I17" s="17"/>
      <c r="J17" s="17"/>
    </row>
    <row r="18" spans="1:10" x14ac:dyDescent="0.25">
      <c r="A18" s="11"/>
      <c r="B18" s="17"/>
      <c r="C18" s="30"/>
      <c r="D18" s="17"/>
      <c r="E18" s="17"/>
      <c r="F18" s="25"/>
      <c r="G18" s="25">
        <f t="shared" si="4"/>
        <v>0</v>
      </c>
      <c r="H18" s="17"/>
      <c r="I18" s="17"/>
      <c r="J18" s="17"/>
    </row>
    <row r="19" spans="1:10" x14ac:dyDescent="0.25">
      <c r="A19" s="11"/>
      <c r="B19" s="17"/>
      <c r="C19" s="30"/>
      <c r="D19" s="17"/>
      <c r="E19" s="17"/>
      <c r="F19" s="25"/>
      <c r="G19" s="25">
        <f t="shared" si="4"/>
        <v>0</v>
      </c>
      <c r="H19" s="17"/>
      <c r="I19" s="17"/>
      <c r="J19" s="17"/>
    </row>
    <row r="20" spans="1:10" x14ac:dyDescent="0.25">
      <c r="A20" s="11"/>
      <c r="B20" s="17"/>
      <c r="C20" s="30"/>
      <c r="D20" s="17"/>
      <c r="E20" s="17"/>
      <c r="F20" s="25"/>
      <c r="G20" s="25">
        <f t="shared" si="4"/>
        <v>0</v>
      </c>
      <c r="H20" s="17"/>
      <c r="I20" s="17"/>
      <c r="J20" s="17"/>
    </row>
    <row r="21" spans="1:10" x14ac:dyDescent="0.25">
      <c r="A21" s="11"/>
      <c r="B21" s="17"/>
      <c r="C21" s="30"/>
      <c r="D21" s="17"/>
      <c r="E21" s="17"/>
      <c r="F21" s="25"/>
      <c r="G21" s="25">
        <f t="shared" si="4"/>
        <v>0</v>
      </c>
      <c r="H21" s="17"/>
      <c r="I21" s="17"/>
      <c r="J21" s="17"/>
    </row>
    <row r="22" spans="1:10" x14ac:dyDescent="0.25">
      <c r="A22" s="11"/>
      <c r="B22" s="17"/>
      <c r="C22" s="30"/>
      <c r="D22" s="17"/>
      <c r="E22" s="17"/>
      <c r="F22" s="25"/>
      <c r="G22" s="25">
        <f t="shared" si="4"/>
        <v>0</v>
      </c>
      <c r="H22" s="17"/>
      <c r="I22" s="17"/>
      <c r="J22" s="17"/>
    </row>
    <row r="23" spans="1:10" x14ac:dyDescent="0.25">
      <c r="A23" s="11"/>
      <c r="B23" s="17"/>
      <c r="C23" s="30"/>
      <c r="D23" s="17"/>
      <c r="E23" s="17"/>
      <c r="F23" s="25"/>
      <c r="G23" s="25">
        <f t="shared" si="4"/>
        <v>0</v>
      </c>
      <c r="H23" s="17"/>
      <c r="I23" s="17"/>
      <c r="J23" s="17"/>
    </row>
    <row r="24" spans="1:10" x14ac:dyDescent="0.25">
      <c r="A24" s="11"/>
      <c r="B24" s="17"/>
      <c r="C24" s="30"/>
      <c r="D24" s="17"/>
      <c r="E24" s="17"/>
      <c r="F24" s="25"/>
      <c r="G24" s="25">
        <f t="shared" si="4"/>
        <v>0</v>
      </c>
      <c r="H24" s="17"/>
      <c r="I24" s="17"/>
      <c r="J24" s="17"/>
    </row>
    <row r="25" spans="1:10" x14ac:dyDescent="0.25">
      <c r="A25" s="11"/>
      <c r="B25" s="17"/>
      <c r="C25" s="30"/>
      <c r="D25" s="17"/>
      <c r="E25" s="17"/>
      <c r="F25" s="25"/>
      <c r="G25" s="25">
        <f t="shared" si="4"/>
        <v>0</v>
      </c>
      <c r="H25" s="17"/>
      <c r="I25" s="17"/>
      <c r="J25" s="17"/>
    </row>
    <row r="26" spans="1:10" x14ac:dyDescent="0.25">
      <c r="A26" s="11"/>
      <c r="B26" s="17"/>
      <c r="C26" s="30"/>
      <c r="D26" s="17"/>
      <c r="E26" s="17"/>
      <c r="F26" s="25"/>
      <c r="G26" s="25">
        <f t="shared" si="4"/>
        <v>0</v>
      </c>
      <c r="H26" s="17"/>
      <c r="I26" s="17"/>
      <c r="J26" s="17"/>
    </row>
    <row r="27" spans="1:10" x14ac:dyDescent="0.25">
      <c r="A27" s="11"/>
      <c r="B27" s="17"/>
      <c r="C27" s="30"/>
      <c r="D27" s="17"/>
      <c r="E27" s="17"/>
      <c r="F27" s="25"/>
      <c r="G27" s="25">
        <f t="shared" si="4"/>
        <v>0</v>
      </c>
      <c r="H27" s="17"/>
      <c r="I27" s="17"/>
      <c r="J27" s="17"/>
    </row>
    <row r="28" spans="1:10" x14ac:dyDescent="0.25">
      <c r="A28" s="11"/>
      <c r="B28" s="17"/>
      <c r="C28" s="30"/>
      <c r="D28" s="17"/>
      <c r="E28" s="17"/>
      <c r="F28" s="25"/>
      <c r="G28" s="25">
        <f t="shared" si="4"/>
        <v>0</v>
      </c>
      <c r="H28" s="17"/>
      <c r="I28" s="17"/>
      <c r="J28" s="17"/>
    </row>
    <row r="29" spans="1:10" x14ac:dyDescent="0.25">
      <c r="A29" s="11"/>
      <c r="B29" s="17"/>
      <c r="C29" s="30"/>
      <c r="D29" s="17"/>
      <c r="E29" s="17"/>
      <c r="F29" s="25"/>
      <c r="G29" s="25">
        <f t="shared" si="4"/>
        <v>0</v>
      </c>
      <c r="H29" s="17"/>
      <c r="I29" s="17"/>
      <c r="J29" s="17"/>
    </row>
    <row r="30" spans="1:10" x14ac:dyDescent="0.25">
      <c r="A30" s="11"/>
      <c r="B30" s="17"/>
      <c r="C30" s="30"/>
      <c r="D30" s="17"/>
      <c r="E30" s="17"/>
      <c r="F30" s="25"/>
      <c r="G30" s="25">
        <f t="shared" si="4"/>
        <v>0</v>
      </c>
      <c r="H30" s="17"/>
      <c r="I30" s="17"/>
      <c r="J30" s="17"/>
    </row>
    <row r="31" spans="1:10" x14ac:dyDescent="0.25">
      <c r="A31" s="11"/>
      <c r="B31" s="17"/>
      <c r="C31" s="30"/>
      <c r="D31" s="17"/>
      <c r="E31" s="17"/>
      <c r="F31" s="25"/>
      <c r="G31" s="25">
        <f t="shared" si="4"/>
        <v>0</v>
      </c>
      <c r="H31" s="17"/>
      <c r="I31" s="17"/>
      <c r="J31" s="17"/>
    </row>
    <row r="32" spans="1:10" x14ac:dyDescent="0.25">
      <c r="A32" s="11"/>
      <c r="B32" s="17"/>
      <c r="C32" s="30"/>
      <c r="D32" s="17"/>
      <c r="E32" s="17"/>
      <c r="F32" s="25"/>
      <c r="G32" s="25">
        <f t="shared" si="4"/>
        <v>0</v>
      </c>
      <c r="H32" s="17"/>
      <c r="I32" s="17"/>
      <c r="J32" s="17"/>
    </row>
    <row r="33" spans="1:10" x14ac:dyDescent="0.25">
      <c r="A33" s="11"/>
      <c r="B33" s="17"/>
      <c r="C33" s="30"/>
      <c r="D33" s="17"/>
      <c r="E33" s="17"/>
      <c r="F33" s="25"/>
      <c r="G33" s="25">
        <f t="shared" si="4"/>
        <v>0</v>
      </c>
      <c r="H33" s="17"/>
      <c r="I33" s="17"/>
      <c r="J33" s="17"/>
    </row>
    <row r="34" spans="1:10" x14ac:dyDescent="0.25">
      <c r="A34" s="11"/>
      <c r="B34" s="17"/>
      <c r="C34" s="30"/>
      <c r="D34" s="17"/>
      <c r="E34" s="17"/>
      <c r="F34" s="25"/>
      <c r="G34" s="25">
        <f t="shared" si="4"/>
        <v>0</v>
      </c>
      <c r="H34" s="17"/>
      <c r="I34" s="17"/>
      <c r="J34" s="17"/>
    </row>
    <row r="35" spans="1:10" x14ac:dyDescent="0.25">
      <c r="A35" s="11"/>
      <c r="B35" s="17"/>
      <c r="C35" s="30"/>
      <c r="D35" s="17"/>
      <c r="E35" s="17"/>
      <c r="F35" s="25"/>
      <c r="G35" s="25">
        <f t="shared" si="4"/>
        <v>0</v>
      </c>
      <c r="H35" s="17"/>
      <c r="I35" s="17"/>
      <c r="J35" s="17"/>
    </row>
    <row r="36" spans="1:10" x14ac:dyDescent="0.25">
      <c r="A36" s="11"/>
      <c r="B36" s="17"/>
      <c r="C36" s="30"/>
      <c r="D36" s="17"/>
      <c r="E36" s="17"/>
      <c r="F36" s="25"/>
      <c r="G36" s="25">
        <f t="shared" si="4"/>
        <v>0</v>
      </c>
      <c r="H36" s="17"/>
      <c r="I36" s="17"/>
      <c r="J36" s="17"/>
    </row>
    <row r="37" spans="1:10" x14ac:dyDescent="0.25">
      <c r="A37" s="11"/>
      <c r="B37" s="17"/>
      <c r="C37" s="30"/>
      <c r="D37" s="17"/>
      <c r="E37" s="17"/>
      <c r="F37" s="25"/>
      <c r="G37" s="25">
        <f t="shared" si="4"/>
        <v>0</v>
      </c>
      <c r="H37" s="17"/>
      <c r="I37" s="17"/>
      <c r="J37" s="17"/>
    </row>
    <row r="38" spans="1:10" x14ac:dyDescent="0.25">
      <c r="A38" s="11"/>
      <c r="B38" s="17"/>
      <c r="C38" s="30"/>
      <c r="D38" s="17"/>
      <c r="E38" s="17"/>
      <c r="F38" s="25"/>
      <c r="G38" s="25">
        <f t="shared" si="4"/>
        <v>0</v>
      </c>
      <c r="H38" s="17"/>
      <c r="I38" s="17"/>
      <c r="J38" s="17"/>
    </row>
    <row r="39" spans="1:10" x14ac:dyDescent="0.25">
      <c r="A39" s="11"/>
      <c r="B39" s="17"/>
      <c r="C39" s="30"/>
      <c r="D39" s="17"/>
      <c r="E39" s="17"/>
      <c r="F39" s="25"/>
      <c r="G39" s="25">
        <f t="shared" si="4"/>
        <v>0</v>
      </c>
      <c r="H39" s="17"/>
      <c r="I39" s="17"/>
      <c r="J39" s="17"/>
    </row>
    <row r="40" spans="1:10" x14ac:dyDescent="0.25">
      <c r="A40" s="11"/>
      <c r="B40" s="17"/>
      <c r="C40" s="30"/>
      <c r="D40" s="17"/>
      <c r="E40" s="17"/>
      <c r="F40" s="25"/>
      <c r="G40" s="25">
        <f t="shared" si="4"/>
        <v>0</v>
      </c>
      <c r="H40" s="17"/>
      <c r="I40" s="17"/>
      <c r="J40" s="17"/>
    </row>
    <row r="41" spans="1:10" x14ac:dyDescent="0.25">
      <c r="A41" s="11"/>
      <c r="B41" s="17"/>
      <c r="C41" s="30"/>
      <c r="D41" s="17"/>
      <c r="E41" s="17"/>
      <c r="F41" s="25"/>
      <c r="G41" s="25">
        <f t="shared" si="4"/>
        <v>0</v>
      </c>
      <c r="H41" s="17"/>
      <c r="I41" s="17"/>
      <c r="J41" s="17"/>
    </row>
    <row r="42" spans="1:10" x14ac:dyDescent="0.25">
      <c r="A42" s="11"/>
      <c r="B42" s="17"/>
      <c r="C42" s="30"/>
      <c r="D42" s="17"/>
      <c r="E42" s="17"/>
      <c r="F42" s="25"/>
      <c r="G42" s="25">
        <f t="shared" si="4"/>
        <v>0</v>
      </c>
      <c r="H42" s="17"/>
      <c r="I42" s="17"/>
      <c r="J42" s="17"/>
    </row>
    <row r="43" spans="1:10" x14ac:dyDescent="0.25">
      <c r="A43" s="11"/>
      <c r="B43" s="17"/>
      <c r="C43" s="30"/>
      <c r="D43" s="17"/>
      <c r="E43" s="17"/>
      <c r="F43" s="25"/>
      <c r="G43" s="25">
        <f t="shared" si="4"/>
        <v>0</v>
      </c>
      <c r="H43" s="17"/>
      <c r="I43" s="17"/>
      <c r="J43" s="17"/>
    </row>
    <row r="44" spans="1:10" x14ac:dyDescent="0.25">
      <c r="A44" s="11"/>
      <c r="B44" s="17"/>
      <c r="C44" s="30"/>
      <c r="D44" s="17"/>
      <c r="E44" s="17"/>
      <c r="F44" s="25"/>
      <c r="G44" s="25">
        <f t="shared" si="4"/>
        <v>0</v>
      </c>
      <c r="H44" s="17"/>
      <c r="I44" s="17"/>
      <c r="J44" s="17"/>
    </row>
    <row r="45" spans="1:10" x14ac:dyDescent="0.25">
      <c r="A45" s="11"/>
      <c r="B45" s="17"/>
      <c r="C45" s="30"/>
      <c r="D45" s="17"/>
      <c r="E45" s="17"/>
      <c r="F45" s="25"/>
      <c r="G45" s="25">
        <f t="shared" si="4"/>
        <v>0</v>
      </c>
      <c r="H45" s="17"/>
      <c r="I45" s="17"/>
      <c r="J45" s="17"/>
    </row>
    <row r="46" spans="1:10" x14ac:dyDescent="0.25">
      <c r="A46" s="11"/>
      <c r="B46" s="17"/>
      <c r="C46" s="30"/>
      <c r="D46" s="17"/>
      <c r="E46" s="17"/>
      <c r="F46" s="25"/>
      <c r="G46" s="25">
        <f t="shared" si="4"/>
        <v>0</v>
      </c>
      <c r="H46" s="17"/>
      <c r="I46" s="17"/>
      <c r="J46" s="17"/>
    </row>
    <row r="47" spans="1:10" x14ac:dyDescent="0.25">
      <c r="A47" s="11"/>
      <c r="B47" s="17"/>
      <c r="C47" s="30"/>
      <c r="D47" s="17"/>
      <c r="E47" s="17"/>
      <c r="F47" s="25"/>
      <c r="G47" s="25">
        <f t="shared" si="4"/>
        <v>0</v>
      </c>
      <c r="H47" s="17"/>
      <c r="I47" s="17"/>
      <c r="J47" s="17"/>
    </row>
    <row r="48" spans="1:10" x14ac:dyDescent="0.25">
      <c r="A48" s="11"/>
      <c r="B48" s="17"/>
      <c r="C48" s="30"/>
      <c r="D48" s="17"/>
      <c r="E48" s="17"/>
      <c r="F48" s="25"/>
      <c r="G48" s="25">
        <f t="shared" si="4"/>
        <v>0</v>
      </c>
      <c r="H48" s="17"/>
      <c r="I48" s="17"/>
      <c r="J48" s="17"/>
    </row>
    <row r="49" spans="1:10" x14ac:dyDescent="0.25">
      <c r="A49" s="11"/>
      <c r="B49" s="17"/>
      <c r="C49" s="30"/>
      <c r="D49" s="17"/>
      <c r="E49" s="17"/>
      <c r="F49" s="25"/>
      <c r="G49" s="25">
        <f t="shared" si="4"/>
        <v>0</v>
      </c>
      <c r="H49" s="17"/>
      <c r="I49" s="17"/>
      <c r="J49" s="17"/>
    </row>
    <row r="50" spans="1:10" x14ac:dyDescent="0.25">
      <c r="A50" s="11"/>
      <c r="B50" s="17"/>
      <c r="C50" s="30"/>
      <c r="D50" s="17"/>
      <c r="E50" s="17"/>
      <c r="F50" s="25"/>
      <c r="G50" s="25">
        <f t="shared" si="4"/>
        <v>0</v>
      </c>
      <c r="H50" s="17"/>
      <c r="I50" s="17"/>
      <c r="J50" s="17"/>
    </row>
    <row r="51" spans="1:10" x14ac:dyDescent="0.25">
      <c r="A51" s="11"/>
      <c r="B51" s="17"/>
      <c r="C51" s="30"/>
      <c r="D51" s="17"/>
      <c r="E51" s="17"/>
      <c r="F51" s="25"/>
      <c r="G51" s="25">
        <f t="shared" si="4"/>
        <v>0</v>
      </c>
      <c r="H51" s="17"/>
      <c r="I51" s="17"/>
      <c r="J51" s="17"/>
    </row>
    <row r="52" spans="1:10" x14ac:dyDescent="0.25">
      <c r="A52" s="11"/>
      <c r="B52" s="17"/>
      <c r="C52" s="30"/>
      <c r="D52" s="17"/>
      <c r="E52" s="17"/>
      <c r="F52" s="25"/>
      <c r="G52" s="25">
        <f t="shared" si="4"/>
        <v>0</v>
      </c>
      <c r="H52" s="17"/>
      <c r="I52" s="17"/>
      <c r="J52" s="17"/>
    </row>
    <row r="53" spans="1:10" x14ac:dyDescent="0.25">
      <c r="A53" s="11"/>
      <c r="B53" s="17"/>
      <c r="C53" s="30"/>
      <c r="D53" s="17"/>
      <c r="E53" s="17"/>
      <c r="F53" s="25"/>
      <c r="G53" s="25">
        <f t="shared" si="4"/>
        <v>0</v>
      </c>
      <c r="H53" s="17"/>
      <c r="I53" s="17"/>
      <c r="J53" s="17"/>
    </row>
    <row r="54" spans="1:10" x14ac:dyDescent="0.25">
      <c r="A54" s="11"/>
      <c r="B54" s="17"/>
      <c r="C54" s="30"/>
      <c r="D54" s="17"/>
      <c r="E54" s="17"/>
      <c r="F54" s="25"/>
      <c r="G54" s="25">
        <f t="shared" si="4"/>
        <v>0</v>
      </c>
      <c r="H54" s="17"/>
      <c r="I54" s="17"/>
      <c r="J54" s="17"/>
    </row>
    <row r="55" spans="1:10" x14ac:dyDescent="0.25">
      <c r="A55" s="11"/>
      <c r="B55" s="17"/>
      <c r="C55" s="30"/>
      <c r="D55" s="17"/>
      <c r="E55" s="17"/>
      <c r="F55" s="25"/>
      <c r="G55" s="25">
        <f t="shared" si="4"/>
        <v>0</v>
      </c>
      <c r="H55" s="17"/>
      <c r="I55" s="17"/>
      <c r="J55" s="17"/>
    </row>
    <row r="56" spans="1:10" x14ac:dyDescent="0.25">
      <c r="A56" s="11"/>
      <c r="B56" s="17"/>
      <c r="C56" s="30"/>
      <c r="D56" s="17"/>
      <c r="E56" s="17"/>
      <c r="F56" s="25"/>
      <c r="G56" s="25">
        <f t="shared" si="4"/>
        <v>0</v>
      </c>
      <c r="H56" s="17"/>
      <c r="I56" s="17"/>
      <c r="J56" s="17"/>
    </row>
    <row r="57" spans="1:10" x14ac:dyDescent="0.25">
      <c r="A57" s="11"/>
      <c r="B57" s="17"/>
      <c r="C57" s="30"/>
      <c r="D57" s="17"/>
      <c r="E57" s="17"/>
      <c r="F57" s="25"/>
      <c r="G57" s="25">
        <f t="shared" si="4"/>
        <v>0</v>
      </c>
      <c r="H57" s="17"/>
      <c r="I57" s="17"/>
      <c r="J57" s="17"/>
    </row>
    <row r="58" spans="1:10" x14ac:dyDescent="0.25">
      <c r="A58" s="11"/>
      <c r="B58" s="17"/>
      <c r="C58" s="30"/>
      <c r="D58" s="17"/>
      <c r="E58" s="17"/>
      <c r="F58" s="25"/>
      <c r="G58" s="25">
        <f t="shared" si="4"/>
        <v>0</v>
      </c>
      <c r="H58" s="17"/>
      <c r="I58" s="17"/>
      <c r="J58" s="17"/>
    </row>
    <row r="59" spans="1:10" x14ac:dyDescent="0.25">
      <c r="A59" s="11"/>
      <c r="B59" s="17"/>
      <c r="C59" s="30"/>
      <c r="D59" s="17"/>
      <c r="E59" s="17"/>
      <c r="F59" s="25"/>
      <c r="G59" s="25">
        <f t="shared" si="4"/>
        <v>0</v>
      </c>
      <c r="H59" s="17"/>
      <c r="I59" s="17"/>
      <c r="J59" s="17"/>
    </row>
    <row r="60" spans="1:10" x14ac:dyDescent="0.25">
      <c r="A60" s="11"/>
      <c r="B60" s="17"/>
      <c r="C60" s="30"/>
      <c r="D60" s="17"/>
      <c r="E60" s="17"/>
      <c r="F60" s="25"/>
      <c r="G60" s="25">
        <f t="shared" si="4"/>
        <v>0</v>
      </c>
      <c r="H60" s="17"/>
      <c r="I60" s="17"/>
      <c r="J60" s="17"/>
    </row>
    <row r="61" spans="1:10" x14ac:dyDescent="0.25">
      <c r="A61" s="11"/>
      <c r="B61" s="17"/>
      <c r="C61" s="30"/>
      <c r="D61" s="17"/>
      <c r="E61" s="17"/>
      <c r="F61" s="25"/>
      <c r="G61" s="25">
        <f t="shared" si="4"/>
        <v>0</v>
      </c>
      <c r="H61" s="17"/>
      <c r="I61" s="17"/>
      <c r="J61" s="17"/>
    </row>
    <row r="62" spans="1:10" x14ac:dyDescent="0.25">
      <c r="A62" s="11"/>
      <c r="B62" s="17"/>
      <c r="C62" s="30"/>
      <c r="D62" s="17"/>
      <c r="E62" s="17"/>
      <c r="F62" s="25"/>
      <c r="G62" s="25">
        <f t="shared" si="4"/>
        <v>0</v>
      </c>
      <c r="H62" s="17"/>
      <c r="I62" s="17"/>
      <c r="J62" s="17"/>
    </row>
    <row r="63" spans="1:10" x14ac:dyDescent="0.25">
      <c r="A63" s="11"/>
      <c r="B63" s="17"/>
      <c r="C63" s="30"/>
      <c r="D63" s="17"/>
      <c r="E63" s="17"/>
      <c r="F63" s="25"/>
      <c r="G63" s="25">
        <f t="shared" si="4"/>
        <v>0</v>
      </c>
      <c r="H63" s="17"/>
      <c r="I63" s="17"/>
      <c r="J63" s="17"/>
    </row>
    <row r="64" spans="1:10" x14ac:dyDescent="0.25">
      <c r="A64" s="11"/>
      <c r="B64" s="17"/>
      <c r="C64" s="30"/>
      <c r="D64" s="17"/>
      <c r="E64" s="17"/>
      <c r="F64" s="25"/>
      <c r="G64" s="25">
        <f t="shared" si="4"/>
        <v>0</v>
      </c>
      <c r="H64" s="17"/>
      <c r="I64" s="17"/>
      <c r="J64" s="17"/>
    </row>
    <row r="65" spans="1:10" x14ac:dyDescent="0.25">
      <c r="A65" s="11"/>
      <c r="B65" s="17"/>
      <c r="C65" s="30"/>
      <c r="D65" s="17"/>
      <c r="E65" s="17"/>
      <c r="F65" s="25"/>
      <c r="G65" s="25">
        <f t="shared" si="4"/>
        <v>0</v>
      </c>
      <c r="H65" s="17"/>
      <c r="I65" s="17"/>
      <c r="J65" s="17"/>
    </row>
    <row r="66" spans="1:10" x14ac:dyDescent="0.25">
      <c r="A66" s="11"/>
      <c r="B66" s="17"/>
      <c r="C66" s="30"/>
      <c r="D66" s="17"/>
      <c r="E66" s="17"/>
      <c r="F66" s="25"/>
      <c r="G66" s="25">
        <f t="shared" si="4"/>
        <v>0</v>
      </c>
      <c r="H66" s="17"/>
      <c r="I66" s="17"/>
      <c r="J66" s="17"/>
    </row>
    <row r="67" spans="1:10" x14ac:dyDescent="0.25">
      <c r="A67" s="11"/>
      <c r="B67" s="17"/>
      <c r="C67" s="30"/>
      <c r="D67" s="17"/>
      <c r="E67" s="17"/>
      <c r="F67" s="25"/>
      <c r="G67" s="25">
        <f t="shared" si="4"/>
        <v>0</v>
      </c>
      <c r="H67" s="17"/>
      <c r="I67" s="17"/>
      <c r="J67" s="17"/>
    </row>
    <row r="68" spans="1:10" x14ac:dyDescent="0.25">
      <c r="A68" s="11"/>
      <c r="B68" s="17"/>
      <c r="C68" s="30"/>
      <c r="D68" s="17"/>
      <c r="E68" s="17"/>
      <c r="F68" s="25"/>
      <c r="G68" s="25">
        <f t="shared" si="4"/>
        <v>0</v>
      </c>
      <c r="H68" s="17"/>
      <c r="I68" s="17"/>
      <c r="J68" s="17"/>
    </row>
    <row r="69" spans="1:10" x14ac:dyDescent="0.25">
      <c r="A69" s="11"/>
      <c r="B69" s="17"/>
      <c r="C69" s="30"/>
      <c r="D69" s="17"/>
      <c r="E69" s="17"/>
      <c r="F69" s="25"/>
      <c r="G69" s="25">
        <f t="shared" si="4"/>
        <v>0</v>
      </c>
      <c r="H69" s="17"/>
      <c r="I69" s="17"/>
      <c r="J69" s="17"/>
    </row>
    <row r="70" spans="1:10" x14ac:dyDescent="0.25">
      <c r="A70" s="11"/>
      <c r="B70" s="17"/>
      <c r="C70" s="30"/>
      <c r="D70" s="17"/>
      <c r="E70" s="17"/>
      <c r="F70" s="25"/>
      <c r="G70" s="25">
        <f t="shared" si="4"/>
        <v>0</v>
      </c>
      <c r="H70" s="17"/>
      <c r="I70" s="17"/>
      <c r="J70" s="17"/>
    </row>
    <row r="71" spans="1:10" x14ac:dyDescent="0.25">
      <c r="A71" s="11"/>
      <c r="B71" s="17"/>
      <c r="C71" s="30"/>
      <c r="D71" s="17"/>
      <c r="E71" s="17"/>
      <c r="F71" s="25"/>
      <c r="G71" s="25">
        <f t="shared" si="4"/>
        <v>0</v>
      </c>
      <c r="H71" s="17"/>
      <c r="I71" s="17"/>
      <c r="J71" s="17"/>
    </row>
    <row r="72" spans="1:10" x14ac:dyDescent="0.25">
      <c r="A72" s="11"/>
      <c r="B72" s="17"/>
      <c r="C72" s="30"/>
      <c r="D72" s="17"/>
      <c r="E72" s="17"/>
      <c r="F72" s="25"/>
      <c r="G72" s="25">
        <f t="shared" si="4"/>
        <v>0</v>
      </c>
      <c r="H72" s="17"/>
      <c r="I72" s="17"/>
      <c r="J72" s="17"/>
    </row>
    <row r="73" spans="1:10" x14ac:dyDescent="0.25">
      <c r="A73" s="11"/>
      <c r="B73" s="17"/>
      <c r="C73" s="30"/>
      <c r="D73" s="17"/>
      <c r="E73" s="17"/>
      <c r="F73" s="25"/>
      <c r="G73" s="25">
        <f t="shared" si="4"/>
        <v>0</v>
      </c>
      <c r="H73" s="17"/>
      <c r="I73" s="17"/>
      <c r="J73" s="17"/>
    </row>
    <row r="74" spans="1:10" x14ac:dyDescent="0.25">
      <c r="A74" s="11"/>
      <c r="B74" s="17"/>
      <c r="C74" s="30"/>
      <c r="D74" s="17"/>
      <c r="E74" s="17"/>
      <c r="F74" s="25"/>
      <c r="G74" s="25">
        <f t="shared" si="4"/>
        <v>0</v>
      </c>
      <c r="H74" s="17"/>
      <c r="I74" s="17"/>
      <c r="J74" s="17"/>
    </row>
    <row r="75" spans="1:10" x14ac:dyDescent="0.25">
      <c r="A75" s="11"/>
      <c r="B75" s="17"/>
      <c r="C75" s="30"/>
      <c r="D75" s="17"/>
      <c r="E75" s="17"/>
      <c r="F75" s="25"/>
      <c r="G75" s="25">
        <f t="shared" si="4"/>
        <v>0</v>
      </c>
      <c r="H75" s="17"/>
      <c r="I75" s="17"/>
      <c r="J75" s="17"/>
    </row>
    <row r="76" spans="1:10" x14ac:dyDescent="0.25">
      <c r="A76" s="11"/>
      <c r="B76" s="17"/>
      <c r="C76" s="30"/>
      <c r="D76" s="17"/>
      <c r="E76" s="17"/>
      <c r="F76" s="25"/>
      <c r="G76" s="25">
        <f t="shared" si="4"/>
        <v>0</v>
      </c>
      <c r="H76" s="17"/>
      <c r="I76" s="17"/>
      <c r="J76" s="17"/>
    </row>
    <row r="77" spans="1:10" x14ac:dyDescent="0.25">
      <c r="A77" s="11"/>
      <c r="B77" s="17"/>
      <c r="C77" s="30"/>
      <c r="D77" s="17"/>
      <c r="E77" s="17"/>
      <c r="F77" s="25"/>
      <c r="G77" s="25">
        <f t="shared" si="4"/>
        <v>0</v>
      </c>
      <c r="H77" s="17"/>
      <c r="I77" s="17"/>
      <c r="J77" s="17"/>
    </row>
    <row r="78" spans="1:10" x14ac:dyDescent="0.25">
      <c r="A78" s="11"/>
      <c r="B78" s="17"/>
      <c r="C78" s="30"/>
      <c r="D78" s="17"/>
      <c r="E78" s="17"/>
      <c r="F78" s="25"/>
      <c r="G78" s="25">
        <f t="shared" si="4"/>
        <v>0</v>
      </c>
      <c r="H78" s="17"/>
      <c r="I78" s="17"/>
      <c r="J78" s="17"/>
    </row>
    <row r="79" spans="1:10" x14ac:dyDescent="0.25">
      <c r="A79" s="11"/>
      <c r="B79" s="17"/>
      <c r="C79" s="30"/>
      <c r="D79" s="17"/>
      <c r="E79" s="17"/>
      <c r="F79" s="25"/>
      <c r="G79" s="25">
        <f t="shared" si="4"/>
        <v>0</v>
      </c>
      <c r="H79" s="17"/>
      <c r="I79" s="17"/>
      <c r="J79" s="17"/>
    </row>
    <row r="80" spans="1:10" x14ac:dyDescent="0.25">
      <c r="A80" s="11"/>
      <c r="B80" s="17"/>
      <c r="C80" s="30"/>
      <c r="D80" s="17"/>
      <c r="E80" s="17"/>
      <c r="F80" s="25"/>
      <c r="G80" s="25">
        <f t="shared" si="4"/>
        <v>0</v>
      </c>
      <c r="H80" s="17"/>
      <c r="I80" s="17"/>
      <c r="J80" s="17"/>
    </row>
    <row r="81" spans="1:10" x14ac:dyDescent="0.25">
      <c r="A81" s="11"/>
      <c r="B81" s="17"/>
      <c r="C81" s="30"/>
      <c r="D81" s="17"/>
      <c r="E81" s="17"/>
      <c r="F81" s="25"/>
      <c r="G81" s="25">
        <f t="shared" si="4"/>
        <v>0</v>
      </c>
      <c r="H81" s="17"/>
      <c r="I81" s="17"/>
      <c r="J81" s="17"/>
    </row>
    <row r="82" spans="1:10" x14ac:dyDescent="0.25">
      <c r="A82" s="11"/>
      <c r="B82" s="17"/>
      <c r="C82" s="30"/>
      <c r="D82" s="17"/>
      <c r="E82" s="17"/>
      <c r="F82" s="25"/>
      <c r="G82" s="25">
        <f t="shared" si="4"/>
        <v>0</v>
      </c>
      <c r="H82" s="17"/>
      <c r="I82" s="17"/>
      <c r="J82" s="17"/>
    </row>
    <row r="83" spans="1:10" x14ac:dyDescent="0.25">
      <c r="A83" s="11"/>
      <c r="B83" s="17"/>
      <c r="C83" s="30"/>
      <c r="D83" s="17"/>
      <c r="E83" s="17"/>
      <c r="F83" s="25"/>
      <c r="G83" s="25">
        <f t="shared" si="4"/>
        <v>0</v>
      </c>
      <c r="H83" s="17"/>
      <c r="I83" s="17"/>
      <c r="J83" s="17"/>
    </row>
    <row r="84" spans="1:10" x14ac:dyDescent="0.25">
      <c r="A84" s="11"/>
      <c r="B84" s="17"/>
      <c r="C84" s="30"/>
      <c r="D84" s="17"/>
      <c r="E84" s="17"/>
      <c r="F84" s="25"/>
      <c r="G84" s="25">
        <f t="shared" si="4"/>
        <v>0</v>
      </c>
      <c r="H84" s="17"/>
      <c r="I84" s="17"/>
      <c r="J84" s="17"/>
    </row>
    <row r="85" spans="1:10" x14ac:dyDescent="0.25">
      <c r="A85" s="11"/>
      <c r="B85" s="17"/>
      <c r="C85" s="30"/>
      <c r="D85" s="17"/>
      <c r="E85" s="17"/>
      <c r="F85" s="25"/>
      <c r="G85" s="25">
        <f t="shared" si="4"/>
        <v>0</v>
      </c>
      <c r="H85" s="17"/>
      <c r="I85" s="17"/>
      <c r="J85" s="17"/>
    </row>
    <row r="86" spans="1:10" x14ac:dyDescent="0.25">
      <c r="A86" s="11"/>
      <c r="B86" s="17"/>
      <c r="C86" s="30"/>
      <c r="D86" s="17"/>
      <c r="E86" s="17"/>
      <c r="F86" s="25"/>
      <c r="G86" s="25">
        <f t="shared" si="4"/>
        <v>0</v>
      </c>
      <c r="H86" s="17"/>
      <c r="I86" s="17"/>
      <c r="J86" s="17"/>
    </row>
    <row r="87" spans="1:10" x14ac:dyDescent="0.25">
      <c r="A87" s="11"/>
      <c r="B87" s="17"/>
      <c r="C87" s="30"/>
      <c r="D87" s="17"/>
      <c r="E87" s="17"/>
      <c r="F87" s="25"/>
      <c r="G87" s="25">
        <f t="shared" si="4"/>
        <v>0</v>
      </c>
      <c r="H87" s="17"/>
      <c r="I87" s="17"/>
      <c r="J87" s="17"/>
    </row>
    <row r="88" spans="1:10" x14ac:dyDescent="0.25">
      <c r="A88" s="11"/>
      <c r="B88" s="17"/>
      <c r="C88" s="30"/>
      <c r="D88" s="17"/>
      <c r="E88" s="17"/>
      <c r="F88" s="25"/>
      <c r="G88" s="25">
        <f t="shared" si="4"/>
        <v>0</v>
      </c>
      <c r="H88" s="17"/>
      <c r="I88" s="17"/>
      <c r="J88" s="17"/>
    </row>
    <row r="89" spans="1:10" x14ac:dyDescent="0.25">
      <c r="A89" s="11"/>
      <c r="B89" s="17"/>
      <c r="C89" s="30"/>
      <c r="D89" s="17"/>
      <c r="E89" s="17"/>
      <c r="F89" s="25"/>
      <c r="G89" s="25">
        <f t="shared" si="4"/>
        <v>0</v>
      </c>
      <c r="H89" s="17"/>
      <c r="I89" s="17"/>
      <c r="J89" s="17"/>
    </row>
    <row r="90" spans="1:10" x14ac:dyDescent="0.25">
      <c r="A90" s="11"/>
      <c r="B90" s="17"/>
      <c r="C90" s="30"/>
      <c r="D90" s="17"/>
      <c r="E90" s="17"/>
      <c r="F90" s="25"/>
      <c r="G90" s="25">
        <f t="shared" si="4"/>
        <v>0</v>
      </c>
      <c r="H90" s="17"/>
      <c r="I90" s="17"/>
      <c r="J90" s="17"/>
    </row>
    <row r="91" spans="1:10" x14ac:dyDescent="0.25">
      <c r="A91" s="11"/>
      <c r="B91" s="17"/>
      <c r="C91" s="30"/>
      <c r="D91" s="17"/>
      <c r="E91" s="17"/>
      <c r="F91" s="25"/>
      <c r="G91" s="25">
        <f t="shared" si="4"/>
        <v>0</v>
      </c>
      <c r="H91" s="17"/>
      <c r="I91" s="17"/>
      <c r="J91" s="17"/>
    </row>
    <row r="92" spans="1:10" x14ac:dyDescent="0.25">
      <c r="A92" s="11"/>
      <c r="B92" s="17"/>
      <c r="C92" s="30"/>
      <c r="D92" s="17"/>
      <c r="E92" s="17"/>
      <c r="F92" s="25"/>
      <c r="G92" s="25">
        <f t="shared" si="4"/>
        <v>0</v>
      </c>
      <c r="H92" s="17"/>
      <c r="I92" s="17"/>
      <c r="J92" s="17"/>
    </row>
    <row r="93" spans="1:10" x14ac:dyDescent="0.25">
      <c r="A93" s="11"/>
      <c r="B93" s="17"/>
      <c r="C93" s="30"/>
      <c r="D93" s="17"/>
      <c r="E93" s="17"/>
      <c r="F93" s="25"/>
      <c r="G93" s="25">
        <f t="shared" si="4"/>
        <v>0</v>
      </c>
      <c r="H93" s="17"/>
      <c r="I93" s="17"/>
      <c r="J93" s="17"/>
    </row>
    <row r="94" spans="1:10" x14ac:dyDescent="0.25">
      <c r="A94" s="11"/>
      <c r="B94" s="17"/>
      <c r="C94" s="30"/>
      <c r="D94" s="17"/>
      <c r="E94" s="17"/>
      <c r="F94" s="25"/>
      <c r="G94" s="25">
        <f t="shared" si="4"/>
        <v>0</v>
      </c>
      <c r="H94" s="17"/>
      <c r="I94" s="17"/>
      <c r="J94" s="17"/>
    </row>
    <row r="95" spans="1:10" x14ac:dyDescent="0.25">
      <c r="A95" s="11"/>
      <c r="B95" s="17"/>
      <c r="C95" s="30"/>
      <c r="D95" s="17"/>
      <c r="E95" s="17"/>
      <c r="F95" s="25"/>
      <c r="G95" s="25">
        <f t="shared" si="4"/>
        <v>0</v>
      </c>
      <c r="H95" s="17"/>
      <c r="I95" s="17"/>
      <c r="J95" s="17"/>
    </row>
    <row r="96" spans="1:10" x14ac:dyDescent="0.25">
      <c r="A96" s="11"/>
      <c r="B96" s="17"/>
      <c r="C96" s="30"/>
      <c r="D96" s="17"/>
      <c r="E96" s="17"/>
      <c r="F96" s="25"/>
      <c r="G96" s="25">
        <f t="shared" si="4"/>
        <v>0</v>
      </c>
      <c r="H96" s="17"/>
      <c r="I96" s="17"/>
      <c r="J96" s="17"/>
    </row>
    <row r="97" spans="1:10" x14ac:dyDescent="0.25">
      <c r="A97" s="11"/>
      <c r="B97" s="17"/>
      <c r="C97" s="30"/>
      <c r="D97" s="17"/>
      <c r="E97" s="17"/>
      <c r="F97" s="25"/>
      <c r="G97" s="25">
        <f t="shared" si="4"/>
        <v>0</v>
      </c>
      <c r="H97" s="17"/>
      <c r="I97" s="17"/>
      <c r="J97" s="17"/>
    </row>
    <row r="98" spans="1:10" x14ac:dyDescent="0.25">
      <c r="A98" s="11"/>
      <c r="B98" s="17"/>
      <c r="C98" s="30"/>
      <c r="D98" s="17"/>
      <c r="E98" s="17"/>
      <c r="F98" s="25"/>
      <c r="G98" s="25">
        <f t="shared" si="4"/>
        <v>0</v>
      </c>
      <c r="H98" s="17"/>
      <c r="I98" s="17"/>
      <c r="J98" s="17"/>
    </row>
    <row r="99" spans="1:10" x14ac:dyDescent="0.25">
      <c r="A99" s="11"/>
      <c r="B99" s="17"/>
      <c r="C99" s="30"/>
      <c r="D99" s="17"/>
      <c r="E99" s="17"/>
      <c r="F99" s="25"/>
      <c r="G99" s="25">
        <f t="shared" si="4"/>
        <v>0</v>
      </c>
      <c r="H99" s="17"/>
      <c r="I99" s="17"/>
      <c r="J99" s="17"/>
    </row>
    <row r="100" spans="1:10" x14ac:dyDescent="0.25">
      <c r="A100" s="11"/>
      <c r="B100" s="17"/>
      <c r="C100" s="30"/>
      <c r="D100" s="17"/>
      <c r="E100" s="17"/>
      <c r="F100" s="25"/>
      <c r="G100" s="25">
        <f t="shared" si="4"/>
        <v>0</v>
      </c>
      <c r="H100" s="17"/>
      <c r="I100" s="17"/>
      <c r="J100" s="17"/>
    </row>
    <row r="101" spans="1:10" x14ac:dyDescent="0.25">
      <c r="A101" s="11"/>
      <c r="B101" s="17"/>
      <c r="C101" s="30"/>
      <c r="D101" s="17"/>
      <c r="E101" s="17"/>
      <c r="F101" s="25"/>
      <c r="G101" s="25">
        <f t="shared" si="4"/>
        <v>0</v>
      </c>
      <c r="H101" s="17"/>
      <c r="I101" s="17"/>
      <c r="J101" s="17"/>
    </row>
    <row r="102" spans="1:10" x14ac:dyDescent="0.25">
      <c r="A102" s="11"/>
      <c r="B102" s="17"/>
      <c r="C102" s="30"/>
      <c r="D102" s="17"/>
      <c r="E102" s="17"/>
      <c r="F102" s="25"/>
      <c r="G102" s="25">
        <f t="shared" si="4"/>
        <v>0</v>
      </c>
      <c r="H102" s="17"/>
      <c r="I102" s="17"/>
      <c r="J102" s="17"/>
    </row>
    <row r="103" spans="1:10" x14ac:dyDescent="0.25">
      <c r="A103" s="11"/>
      <c r="B103" s="17"/>
      <c r="C103" s="30"/>
      <c r="D103" s="17"/>
      <c r="E103" s="17"/>
      <c r="F103" s="25"/>
      <c r="G103" s="25">
        <f t="shared" si="4"/>
        <v>0</v>
      </c>
      <c r="H103" s="17"/>
      <c r="I103" s="17"/>
      <c r="J103" s="17"/>
    </row>
    <row r="104" spans="1:10" x14ac:dyDescent="0.25">
      <c r="A104" s="11"/>
      <c r="B104" s="17"/>
      <c r="C104" s="30"/>
      <c r="D104" s="17"/>
      <c r="E104" s="17"/>
      <c r="F104" s="25"/>
      <c r="G104" s="25">
        <f t="shared" si="4"/>
        <v>0</v>
      </c>
      <c r="H104" s="17"/>
      <c r="I104" s="17"/>
      <c r="J104" s="17"/>
    </row>
    <row r="105" spans="1:10" x14ac:dyDescent="0.25">
      <c r="A105" s="11"/>
      <c r="B105" s="17"/>
      <c r="C105" s="30"/>
      <c r="D105" s="17"/>
      <c r="E105" s="17"/>
      <c r="F105" s="25"/>
      <c r="G105" s="25">
        <f t="shared" si="4"/>
        <v>0</v>
      </c>
      <c r="H105" s="17"/>
      <c r="I105" s="17"/>
      <c r="J105" s="17"/>
    </row>
    <row r="106" spans="1:10" x14ac:dyDescent="0.25">
      <c r="A106" s="11"/>
      <c r="B106" s="17"/>
      <c r="C106" s="30"/>
      <c r="D106" s="17"/>
      <c r="E106" s="17"/>
      <c r="F106" s="25"/>
      <c r="G106" s="25">
        <f t="shared" si="4"/>
        <v>0</v>
      </c>
      <c r="H106" s="17"/>
      <c r="I106" s="17"/>
      <c r="J106" s="17"/>
    </row>
    <row r="107" spans="1:10" x14ac:dyDescent="0.25">
      <c r="A107" s="11"/>
      <c r="B107" s="17"/>
      <c r="C107" s="30"/>
      <c r="D107" s="17"/>
      <c r="E107" s="17"/>
      <c r="F107" s="25"/>
      <c r="G107" s="25">
        <f t="shared" si="4"/>
        <v>0</v>
      </c>
      <c r="H107" s="17"/>
      <c r="I107" s="17"/>
      <c r="J107" s="17"/>
    </row>
    <row r="108" spans="1:10" x14ac:dyDescent="0.25">
      <c r="A108" s="11"/>
      <c r="B108" s="17"/>
      <c r="C108" s="30"/>
      <c r="D108" s="17"/>
      <c r="E108" s="17"/>
      <c r="F108" s="25"/>
      <c r="G108" s="25">
        <f t="shared" si="4"/>
        <v>0</v>
      </c>
      <c r="H108" s="17"/>
      <c r="I108" s="17"/>
      <c r="J108" s="17"/>
    </row>
    <row r="109" spans="1:10" x14ac:dyDescent="0.25">
      <c r="A109" s="11"/>
      <c r="B109" s="17"/>
      <c r="C109" s="30"/>
      <c r="D109" s="17"/>
      <c r="E109" s="17"/>
      <c r="F109" s="25"/>
      <c r="G109" s="25">
        <f t="shared" si="4"/>
        <v>0</v>
      </c>
      <c r="H109" s="17"/>
      <c r="I109" s="17"/>
      <c r="J109" s="17"/>
    </row>
    <row r="110" spans="1:10" x14ac:dyDescent="0.25">
      <c r="A110" s="11"/>
      <c r="B110" s="17"/>
      <c r="C110" s="30"/>
      <c r="D110" s="17"/>
      <c r="E110" s="17"/>
      <c r="F110" s="25"/>
      <c r="G110" s="25">
        <f t="shared" si="4"/>
        <v>0</v>
      </c>
      <c r="H110" s="17"/>
      <c r="I110" s="17"/>
      <c r="J110" s="17"/>
    </row>
    <row r="111" spans="1:10" x14ac:dyDescent="0.25">
      <c r="A111" s="11"/>
      <c r="B111" s="17"/>
      <c r="C111" s="30"/>
      <c r="D111" s="17"/>
      <c r="E111" s="17"/>
      <c r="F111" s="25"/>
      <c r="G111" s="25">
        <f t="shared" si="4"/>
        <v>0</v>
      </c>
      <c r="H111" s="17"/>
      <c r="I111" s="17"/>
      <c r="J111" s="17"/>
    </row>
    <row r="112" spans="1:10" x14ac:dyDescent="0.25">
      <c r="A112" s="11"/>
      <c r="B112" s="17"/>
      <c r="C112" s="30"/>
      <c r="D112" s="17"/>
      <c r="E112" s="17"/>
      <c r="F112" s="25"/>
      <c r="G112" s="25">
        <f t="shared" si="4"/>
        <v>0</v>
      </c>
      <c r="H112" s="17"/>
      <c r="I112" s="17"/>
      <c r="J112" s="17"/>
    </row>
    <row r="113" spans="1:10" x14ac:dyDescent="0.25">
      <c r="A113" s="11"/>
      <c r="B113" s="17"/>
      <c r="C113" s="30"/>
      <c r="D113" s="17"/>
      <c r="E113" s="17"/>
      <c r="F113" s="25"/>
      <c r="G113" s="25">
        <f t="shared" si="4"/>
        <v>0</v>
      </c>
      <c r="H113" s="17"/>
      <c r="I113" s="17"/>
      <c r="J113" s="17"/>
    </row>
    <row r="114" spans="1:10" x14ac:dyDescent="0.25">
      <c r="A114" s="11"/>
      <c r="B114" s="17"/>
      <c r="C114" s="30"/>
      <c r="D114" s="17"/>
      <c r="E114" s="17"/>
      <c r="F114" s="25"/>
      <c r="G114" s="25">
        <f t="shared" si="4"/>
        <v>0</v>
      </c>
      <c r="H114" s="17"/>
      <c r="I114" s="17"/>
      <c r="J114" s="17"/>
    </row>
    <row r="115" spans="1:10" x14ac:dyDescent="0.25">
      <c r="A115" s="11"/>
      <c r="B115" s="17"/>
      <c r="C115" s="30"/>
      <c r="D115" s="17"/>
      <c r="E115" s="17"/>
      <c r="F115" s="25"/>
      <c r="G115" s="25">
        <f t="shared" si="4"/>
        <v>0</v>
      </c>
      <c r="H115" s="17"/>
      <c r="I115" s="17"/>
      <c r="J115" s="17"/>
    </row>
    <row r="116" spans="1:10" x14ac:dyDescent="0.25">
      <c r="A116" s="11"/>
      <c r="B116" s="17"/>
      <c r="C116" s="30"/>
      <c r="D116" s="17"/>
      <c r="E116" s="17"/>
      <c r="F116" s="25"/>
      <c r="G116" s="25">
        <f t="shared" si="4"/>
        <v>0</v>
      </c>
      <c r="H116" s="17"/>
      <c r="I116" s="17"/>
      <c r="J116" s="17"/>
    </row>
    <row r="117" spans="1:10" x14ac:dyDescent="0.25">
      <c r="A117" s="11"/>
      <c r="B117" s="17"/>
      <c r="C117" s="30"/>
      <c r="D117" s="17"/>
      <c r="E117" s="17"/>
      <c r="F117" s="25"/>
      <c r="G117" s="25">
        <f t="shared" si="4"/>
        <v>0</v>
      </c>
      <c r="H117" s="17"/>
      <c r="I117" s="17"/>
      <c r="J117" s="17"/>
    </row>
    <row r="118" spans="1:10" x14ac:dyDescent="0.25">
      <c r="A118" s="11"/>
      <c r="B118" s="17"/>
      <c r="C118" s="30"/>
      <c r="D118" s="17"/>
      <c r="E118" s="17"/>
      <c r="F118" s="25"/>
      <c r="G118" s="25">
        <f t="shared" si="4"/>
        <v>0</v>
      </c>
      <c r="H118" s="17"/>
      <c r="I118" s="17"/>
      <c r="J118" s="17"/>
    </row>
    <row r="119" spans="1:10" x14ac:dyDescent="0.25">
      <c r="A119" s="11"/>
      <c r="B119" s="17"/>
      <c r="C119" s="30"/>
      <c r="D119" s="17"/>
      <c r="E119" s="17"/>
      <c r="F119" s="25"/>
      <c r="G119" s="25">
        <f t="shared" si="4"/>
        <v>0</v>
      </c>
      <c r="H119" s="17"/>
      <c r="I119" s="17"/>
      <c r="J119" s="17"/>
    </row>
    <row r="120" spans="1:10" x14ac:dyDescent="0.25">
      <c r="A120" s="11"/>
      <c r="B120" s="17"/>
      <c r="C120" s="30"/>
      <c r="D120" s="17"/>
      <c r="E120" s="17"/>
      <c r="F120" s="25"/>
      <c r="G120" s="25">
        <f t="shared" si="4"/>
        <v>0</v>
      </c>
      <c r="H120" s="17"/>
      <c r="I120" s="17"/>
      <c r="J120" s="17"/>
    </row>
    <row r="121" spans="1:10" x14ac:dyDescent="0.25">
      <c r="A121" s="11"/>
      <c r="B121" s="17"/>
      <c r="C121" s="30"/>
      <c r="D121" s="17"/>
      <c r="E121" s="17"/>
      <c r="F121" s="25"/>
      <c r="G121" s="25">
        <f t="shared" si="4"/>
        <v>0</v>
      </c>
      <c r="H121" s="17"/>
      <c r="I121" s="17"/>
      <c r="J121" s="17"/>
    </row>
    <row r="122" spans="1:10" x14ac:dyDescent="0.25">
      <c r="A122" s="11"/>
      <c r="B122" s="17"/>
      <c r="C122" s="30"/>
      <c r="D122" s="17"/>
      <c r="E122" s="17"/>
      <c r="F122" s="25"/>
      <c r="G122" s="25">
        <f t="shared" si="4"/>
        <v>0</v>
      </c>
      <c r="H122" s="17"/>
      <c r="I122" s="17"/>
      <c r="J122" s="17"/>
    </row>
    <row r="123" spans="1:10" x14ac:dyDescent="0.25">
      <c r="A123" s="11"/>
      <c r="B123" s="17"/>
      <c r="C123" s="30"/>
      <c r="D123" s="17"/>
      <c r="E123" s="17"/>
      <c r="F123" s="25"/>
      <c r="G123" s="25">
        <f t="shared" si="4"/>
        <v>0</v>
      </c>
      <c r="H123" s="17"/>
      <c r="I123" s="17"/>
      <c r="J123" s="17"/>
    </row>
    <row r="124" spans="1:10" x14ac:dyDescent="0.25">
      <c r="A124" s="11"/>
      <c r="B124" s="17"/>
      <c r="C124" s="30"/>
      <c r="D124" s="17"/>
      <c r="E124" s="17"/>
      <c r="F124" s="25"/>
      <c r="G124" s="25">
        <f t="shared" si="4"/>
        <v>0</v>
      </c>
      <c r="H124" s="17"/>
      <c r="I124" s="17"/>
      <c r="J124" s="17"/>
    </row>
    <row r="125" spans="1:10" x14ac:dyDescent="0.25">
      <c r="A125" s="11"/>
      <c r="B125" s="17"/>
      <c r="C125" s="30"/>
      <c r="D125" s="17"/>
      <c r="E125" s="17"/>
      <c r="F125" s="25"/>
      <c r="G125" s="25">
        <f t="shared" si="4"/>
        <v>0</v>
      </c>
      <c r="H125" s="17"/>
      <c r="I125" s="17"/>
      <c r="J125" s="17"/>
    </row>
    <row r="126" spans="1:10" x14ac:dyDescent="0.25">
      <c r="A126" s="11"/>
      <c r="B126" s="17"/>
      <c r="C126" s="30"/>
      <c r="D126" s="17"/>
      <c r="E126" s="17"/>
      <c r="F126" s="25"/>
      <c r="G126" s="25">
        <f t="shared" si="4"/>
        <v>0</v>
      </c>
      <c r="H126" s="17"/>
      <c r="I126" s="17"/>
      <c r="J126" s="17"/>
    </row>
    <row r="127" spans="1:10" x14ac:dyDescent="0.25">
      <c r="A127" s="11"/>
      <c r="B127" s="17"/>
      <c r="C127" s="30"/>
      <c r="D127" s="17"/>
      <c r="E127" s="17"/>
      <c r="F127" s="25"/>
      <c r="G127" s="25">
        <f t="shared" si="4"/>
        <v>0</v>
      </c>
      <c r="H127" s="17"/>
      <c r="I127" s="17"/>
      <c r="J127" s="17"/>
    </row>
    <row r="128" spans="1:10" x14ac:dyDescent="0.25">
      <c r="A128" s="11"/>
      <c r="B128" s="17"/>
      <c r="C128" s="30"/>
      <c r="D128" s="17"/>
      <c r="E128" s="17"/>
      <c r="F128" s="25"/>
      <c r="G128" s="25">
        <f t="shared" si="4"/>
        <v>0</v>
      </c>
      <c r="H128" s="17"/>
      <c r="I128" s="17"/>
      <c r="J128" s="17"/>
    </row>
    <row r="129" spans="1:10" x14ac:dyDescent="0.25">
      <c r="A129" s="11"/>
      <c r="B129" s="17"/>
      <c r="C129" s="30"/>
      <c r="D129" s="17"/>
      <c r="E129" s="17"/>
      <c r="F129" s="25"/>
      <c r="G129" s="25">
        <f t="shared" si="4"/>
        <v>0</v>
      </c>
      <c r="H129" s="17"/>
      <c r="I129" s="17"/>
      <c r="J129" s="17"/>
    </row>
    <row r="130" spans="1:10" x14ac:dyDescent="0.25">
      <c r="A130" s="11"/>
      <c r="B130" s="17"/>
      <c r="C130" s="30"/>
      <c r="D130" s="17"/>
      <c r="E130" s="17"/>
      <c r="F130" s="25"/>
      <c r="G130" s="25">
        <f t="shared" si="4"/>
        <v>0</v>
      </c>
      <c r="H130" s="17"/>
      <c r="I130" s="17"/>
      <c r="J130" s="17"/>
    </row>
    <row r="131" spans="1:10" x14ac:dyDescent="0.25">
      <c r="A131" s="11"/>
      <c r="B131" s="17"/>
      <c r="C131" s="30"/>
      <c r="D131" s="17"/>
      <c r="E131" s="17"/>
      <c r="F131" s="25"/>
      <c r="G131" s="25">
        <f t="shared" si="4"/>
        <v>0</v>
      </c>
      <c r="H131" s="17"/>
      <c r="I131" s="17"/>
      <c r="J131" s="17"/>
    </row>
    <row r="132" spans="1:10" x14ac:dyDescent="0.25">
      <c r="A132" s="11"/>
      <c r="B132" s="17"/>
      <c r="C132" s="30"/>
      <c r="D132" s="17"/>
      <c r="E132" s="17"/>
      <c r="F132" s="25"/>
      <c r="G132" s="25">
        <f t="shared" si="4"/>
        <v>0</v>
      </c>
      <c r="H132" s="17"/>
      <c r="I132" s="17"/>
      <c r="J132" s="17"/>
    </row>
    <row r="133" spans="1:10" x14ac:dyDescent="0.25">
      <c r="A133" s="11"/>
      <c r="B133" s="17"/>
      <c r="C133" s="30"/>
      <c r="D133" s="17"/>
      <c r="E133" s="17"/>
      <c r="F133" s="25"/>
      <c r="G133" s="25">
        <f t="shared" si="4"/>
        <v>0</v>
      </c>
      <c r="H133" s="17"/>
      <c r="I133" s="17"/>
      <c r="J133" s="17"/>
    </row>
    <row r="134" spans="1:10" x14ac:dyDescent="0.25">
      <c r="A134" s="11"/>
      <c r="B134" s="17"/>
      <c r="C134" s="30"/>
      <c r="D134" s="17"/>
      <c r="E134" s="17"/>
      <c r="F134" s="25"/>
      <c r="G134" s="25">
        <f t="shared" si="4"/>
        <v>0</v>
      </c>
      <c r="H134" s="17"/>
      <c r="I134" s="17"/>
      <c r="J134" s="17"/>
    </row>
    <row r="135" spans="1:10" x14ac:dyDescent="0.25">
      <c r="A135" s="11"/>
      <c r="B135" s="17"/>
      <c r="C135" s="30"/>
      <c r="D135" s="17"/>
      <c r="E135" s="17"/>
      <c r="F135" s="25"/>
      <c r="G135" s="25">
        <f t="shared" si="4"/>
        <v>0</v>
      </c>
      <c r="H135" s="17"/>
      <c r="I135" s="17"/>
      <c r="J135" s="17"/>
    </row>
    <row r="136" spans="1:10" x14ac:dyDescent="0.25">
      <c r="A136" s="11"/>
      <c r="B136" s="17"/>
      <c r="C136" s="30"/>
      <c r="D136" s="17"/>
      <c r="E136" s="17"/>
      <c r="F136" s="25"/>
      <c r="G136" s="25">
        <f t="shared" si="4"/>
        <v>0</v>
      </c>
      <c r="H136" s="17"/>
      <c r="I136" s="17"/>
      <c r="J136" s="17"/>
    </row>
    <row r="137" spans="1:10" x14ac:dyDescent="0.25">
      <c r="A137" s="11"/>
      <c r="B137" s="17"/>
      <c r="C137" s="30"/>
      <c r="D137" s="17"/>
      <c r="E137" s="17"/>
      <c r="F137" s="25"/>
      <c r="G137" s="25">
        <f t="shared" si="4"/>
        <v>0</v>
      </c>
      <c r="H137" s="17"/>
      <c r="I137" s="17"/>
      <c r="J137" s="17"/>
    </row>
    <row r="138" spans="1:10" x14ac:dyDescent="0.25">
      <c r="A138" s="11"/>
      <c r="B138" s="17"/>
      <c r="C138" s="30"/>
      <c r="D138" s="17"/>
      <c r="E138" s="17"/>
      <c r="F138" s="25"/>
      <c r="G138" s="25">
        <f t="shared" si="4"/>
        <v>0</v>
      </c>
      <c r="H138" s="17"/>
      <c r="I138" s="17"/>
      <c r="J138" s="17"/>
    </row>
    <row r="139" spans="1:10" x14ac:dyDescent="0.25">
      <c r="A139" s="11"/>
      <c r="B139" s="17"/>
      <c r="C139" s="30"/>
      <c r="D139" s="17"/>
      <c r="E139" s="17"/>
      <c r="F139" s="25"/>
      <c r="G139" s="25">
        <f t="shared" si="4"/>
        <v>0</v>
      </c>
      <c r="H139" s="17"/>
      <c r="I139" s="17"/>
      <c r="J139" s="17"/>
    </row>
    <row r="140" spans="1:10" x14ac:dyDescent="0.25">
      <c r="A140" s="11"/>
      <c r="B140" s="17"/>
      <c r="C140" s="30"/>
      <c r="D140" s="17"/>
      <c r="E140" s="17"/>
      <c r="F140" s="25"/>
      <c r="G140" s="25">
        <f t="shared" si="4"/>
        <v>0</v>
      </c>
      <c r="H140" s="17"/>
      <c r="I140" s="17"/>
      <c r="J140" s="17"/>
    </row>
    <row r="141" spans="1:10" x14ac:dyDescent="0.25">
      <c r="A141" s="11"/>
      <c r="B141" s="17"/>
      <c r="C141" s="30"/>
      <c r="D141" s="17"/>
      <c r="E141" s="17"/>
      <c r="F141" s="25"/>
      <c r="G141" s="25">
        <f t="shared" si="4"/>
        <v>0</v>
      </c>
      <c r="H141" s="17"/>
      <c r="I141" s="17"/>
      <c r="J141" s="17"/>
    </row>
    <row r="142" spans="1:10" x14ac:dyDescent="0.25">
      <c r="A142" s="11"/>
      <c r="B142" s="17"/>
      <c r="C142" s="30"/>
      <c r="D142" s="17"/>
      <c r="E142" s="17"/>
      <c r="F142" s="25"/>
      <c r="G142" s="25">
        <f t="shared" si="4"/>
        <v>0</v>
      </c>
      <c r="H142" s="17"/>
      <c r="I142" s="17"/>
      <c r="J142" s="17"/>
    </row>
    <row r="143" spans="1:10" x14ac:dyDescent="0.25">
      <c r="A143" s="11"/>
      <c r="B143" s="17"/>
      <c r="C143" s="30"/>
      <c r="D143" s="17"/>
      <c r="E143" s="17"/>
      <c r="F143" s="25"/>
      <c r="G143" s="25">
        <f t="shared" si="4"/>
        <v>0</v>
      </c>
      <c r="H143" s="17"/>
      <c r="I143" s="17"/>
      <c r="J143" s="17"/>
    </row>
    <row r="144" spans="1:10" x14ac:dyDescent="0.25">
      <c r="A144" s="11"/>
      <c r="B144" s="17"/>
      <c r="C144" s="30"/>
      <c r="D144" s="17"/>
      <c r="E144" s="17"/>
      <c r="F144" s="25"/>
      <c r="G144" s="25">
        <f t="shared" si="4"/>
        <v>0</v>
      </c>
      <c r="H144" s="17"/>
      <c r="I144" s="17"/>
      <c r="J144" s="17"/>
    </row>
    <row r="145" spans="1:10" x14ac:dyDescent="0.25">
      <c r="A145" s="11"/>
      <c r="B145" s="17"/>
      <c r="C145" s="30"/>
      <c r="D145" s="17"/>
      <c r="E145" s="17"/>
      <c r="F145" s="25"/>
      <c r="G145" s="25">
        <f t="shared" si="4"/>
        <v>0</v>
      </c>
      <c r="H145" s="17"/>
      <c r="I145" s="17"/>
      <c r="J145" s="17"/>
    </row>
    <row r="146" spans="1:10" x14ac:dyDescent="0.25">
      <c r="A146" s="11"/>
      <c r="B146" s="17"/>
      <c r="C146" s="30"/>
      <c r="D146" s="17"/>
      <c r="E146" s="17"/>
      <c r="F146" s="25"/>
      <c r="G146" s="25">
        <f t="shared" si="4"/>
        <v>0</v>
      </c>
      <c r="H146" s="17"/>
      <c r="I146" s="17"/>
      <c r="J146" s="17"/>
    </row>
    <row r="147" spans="1:10" x14ac:dyDescent="0.25">
      <c r="A147" s="11"/>
      <c r="B147" s="17"/>
      <c r="C147" s="30"/>
      <c r="D147" s="17"/>
      <c r="E147" s="17"/>
      <c r="F147" s="25"/>
      <c r="G147" s="25">
        <f t="shared" si="4"/>
        <v>0</v>
      </c>
      <c r="H147" s="17"/>
      <c r="I147" s="17"/>
      <c r="J147" s="17"/>
    </row>
    <row r="148" spans="1:10" x14ac:dyDescent="0.25">
      <c r="A148" s="11"/>
      <c r="B148" s="17"/>
      <c r="C148" s="30"/>
      <c r="D148" s="17"/>
      <c r="E148" s="17"/>
      <c r="F148" s="25"/>
      <c r="G148" s="25">
        <f t="shared" si="4"/>
        <v>0</v>
      </c>
      <c r="H148" s="17"/>
      <c r="I148" s="17"/>
      <c r="J148" s="17"/>
    </row>
    <row r="149" spans="1:10" x14ac:dyDescent="0.25">
      <c r="A149" s="11"/>
      <c r="B149" s="17"/>
      <c r="C149" s="30"/>
      <c r="D149" s="17"/>
      <c r="E149" s="17"/>
      <c r="F149" s="25"/>
      <c r="G149" s="25">
        <f t="shared" si="4"/>
        <v>0</v>
      </c>
      <c r="H149" s="17"/>
      <c r="I149" s="17"/>
      <c r="J149" s="17"/>
    </row>
    <row r="150" spans="1:10" x14ac:dyDescent="0.25">
      <c r="A150" s="11"/>
      <c r="B150" s="17"/>
      <c r="C150" s="30"/>
      <c r="D150" s="17"/>
      <c r="E150" s="17"/>
      <c r="F150" s="25"/>
      <c r="G150" s="25">
        <f t="shared" si="4"/>
        <v>0</v>
      </c>
      <c r="H150" s="17"/>
      <c r="I150" s="17"/>
      <c r="J150" s="17"/>
    </row>
    <row r="151" spans="1:10" x14ac:dyDescent="0.25">
      <c r="A151" s="11"/>
      <c r="B151" s="17"/>
      <c r="C151" s="30"/>
      <c r="D151" s="17"/>
      <c r="E151" s="17"/>
      <c r="F151" s="25"/>
      <c r="G151" s="25">
        <f t="shared" si="4"/>
        <v>0</v>
      </c>
      <c r="H151" s="17"/>
      <c r="I151" s="17"/>
      <c r="J151" s="17"/>
    </row>
    <row r="152" spans="1:10" x14ac:dyDescent="0.25">
      <c r="A152" s="11"/>
      <c r="B152" s="17"/>
      <c r="C152" s="30"/>
      <c r="D152" s="17"/>
      <c r="E152" s="17"/>
      <c r="F152" s="25"/>
      <c r="G152" s="25">
        <f t="shared" si="4"/>
        <v>0</v>
      </c>
      <c r="H152" s="17"/>
      <c r="I152" s="17"/>
      <c r="J152" s="17"/>
    </row>
    <row r="153" spans="1:10" x14ac:dyDescent="0.25">
      <c r="A153" s="11"/>
      <c r="B153" s="17"/>
      <c r="C153" s="30"/>
      <c r="D153" s="17"/>
      <c r="E153" s="17"/>
      <c r="F153" s="25"/>
      <c r="G153" s="25">
        <f t="shared" si="4"/>
        <v>0</v>
      </c>
      <c r="H153" s="17"/>
      <c r="I153" s="17"/>
      <c r="J153" s="17"/>
    </row>
    <row r="154" spans="1:10" x14ac:dyDescent="0.25">
      <c r="A154" s="11"/>
      <c r="B154" s="17"/>
      <c r="C154" s="30"/>
      <c r="D154" s="17"/>
      <c r="E154" s="17"/>
      <c r="F154" s="25"/>
      <c r="G154" s="25">
        <f t="shared" si="4"/>
        <v>0</v>
      </c>
      <c r="H154" s="17"/>
      <c r="I154" s="17"/>
      <c r="J154" s="17"/>
    </row>
    <row r="155" spans="1:10" x14ac:dyDescent="0.25">
      <c r="A155" s="11"/>
      <c r="B155" s="17"/>
      <c r="C155" s="30"/>
      <c r="D155" s="17"/>
      <c r="E155" s="17"/>
      <c r="F155" s="25"/>
      <c r="G155" s="25">
        <f t="shared" si="4"/>
        <v>0</v>
      </c>
      <c r="H155" s="17"/>
      <c r="I155" s="17"/>
      <c r="J155" s="17"/>
    </row>
    <row r="156" spans="1:10" x14ac:dyDescent="0.25">
      <c r="A156" s="11"/>
      <c r="B156" s="17"/>
      <c r="C156" s="30"/>
      <c r="D156" s="17"/>
      <c r="E156" s="17"/>
      <c r="F156" s="25"/>
      <c r="G156" s="25">
        <f t="shared" si="4"/>
        <v>0</v>
      </c>
      <c r="H156" s="17"/>
      <c r="I156" s="17"/>
      <c r="J156" s="17"/>
    </row>
    <row r="157" spans="1:10" x14ac:dyDescent="0.25">
      <c r="A157" s="11"/>
      <c r="B157" s="17"/>
      <c r="C157" s="30"/>
      <c r="D157" s="17"/>
      <c r="E157" s="17"/>
      <c r="F157" s="25"/>
      <c r="G157" s="25">
        <f t="shared" si="4"/>
        <v>0</v>
      </c>
      <c r="H157" s="17"/>
      <c r="I157" s="17"/>
      <c r="J157" s="17"/>
    </row>
    <row r="158" spans="1:10" x14ac:dyDescent="0.25">
      <c r="A158" s="11"/>
      <c r="B158" s="17"/>
      <c r="C158" s="30"/>
      <c r="D158" s="17"/>
      <c r="E158" s="17"/>
      <c r="F158" s="25"/>
      <c r="G158" s="25">
        <f t="shared" si="4"/>
        <v>0</v>
      </c>
      <c r="H158" s="17"/>
      <c r="I158" s="17"/>
      <c r="J158" s="17"/>
    </row>
    <row r="159" spans="1:10" x14ac:dyDescent="0.25">
      <c r="A159" s="11"/>
      <c r="B159" s="17"/>
      <c r="C159" s="30"/>
      <c r="D159" s="17"/>
      <c r="E159" s="17"/>
      <c r="F159" s="25"/>
      <c r="G159" s="25">
        <f t="shared" si="4"/>
        <v>0</v>
      </c>
      <c r="H159" s="17"/>
      <c r="I159" s="17"/>
      <c r="J159" s="17"/>
    </row>
    <row r="160" spans="1:10" x14ac:dyDescent="0.25">
      <c r="A160" s="11"/>
      <c r="B160" s="17"/>
      <c r="C160" s="30"/>
      <c r="D160" s="17"/>
      <c r="E160" s="17"/>
      <c r="F160" s="25"/>
      <c r="G160" s="25">
        <f t="shared" si="4"/>
        <v>0</v>
      </c>
      <c r="H160" s="17"/>
      <c r="I160" s="17"/>
      <c r="J160" s="17"/>
    </row>
    <row r="161" spans="1:10" x14ac:dyDescent="0.25">
      <c r="A161" s="11"/>
      <c r="B161" s="17"/>
      <c r="C161" s="30"/>
      <c r="D161" s="17"/>
      <c r="E161" s="17"/>
      <c r="F161" s="25"/>
      <c r="G161" s="25">
        <f t="shared" si="4"/>
        <v>0</v>
      </c>
      <c r="H161" s="17"/>
      <c r="I161" s="17"/>
      <c r="J161" s="17"/>
    </row>
    <row r="162" spans="1:10" x14ac:dyDescent="0.25">
      <c r="A162" s="11"/>
      <c r="B162" s="17"/>
      <c r="C162" s="30"/>
      <c r="D162" s="17"/>
      <c r="E162" s="17"/>
      <c r="F162" s="25"/>
      <c r="G162" s="25">
        <f t="shared" si="4"/>
        <v>0</v>
      </c>
      <c r="H162" s="17"/>
      <c r="I162" s="17"/>
      <c r="J162" s="17"/>
    </row>
    <row r="163" spans="1:10" x14ac:dyDescent="0.25">
      <c r="A163" s="11"/>
      <c r="B163" s="17"/>
      <c r="C163" s="30"/>
      <c r="D163" s="17"/>
      <c r="E163" s="17"/>
      <c r="F163" s="25"/>
      <c r="G163" s="25">
        <f t="shared" si="4"/>
        <v>0</v>
      </c>
      <c r="H163" s="17"/>
      <c r="I163" s="17"/>
      <c r="J163" s="17"/>
    </row>
    <row r="164" spans="1:10" x14ac:dyDescent="0.25">
      <c r="A164" s="11"/>
      <c r="B164" s="17"/>
      <c r="C164" s="30"/>
      <c r="D164" s="17"/>
      <c r="E164" s="17"/>
      <c r="F164" s="25"/>
      <c r="G164" s="25">
        <f t="shared" si="4"/>
        <v>0</v>
      </c>
      <c r="H164" s="17"/>
      <c r="I164" s="17"/>
      <c r="J164" s="17"/>
    </row>
    <row r="165" spans="1:10" x14ac:dyDescent="0.25">
      <c r="A165" s="11"/>
      <c r="B165" s="17"/>
      <c r="C165" s="30"/>
      <c r="D165" s="17"/>
      <c r="E165" s="17"/>
      <c r="F165" s="25"/>
      <c r="G165" s="25">
        <f t="shared" si="4"/>
        <v>0</v>
      </c>
      <c r="H165" s="17"/>
      <c r="I165" s="17"/>
      <c r="J165" s="17"/>
    </row>
    <row r="166" spans="1:10" x14ac:dyDescent="0.25">
      <c r="A166" s="11"/>
      <c r="B166" s="17"/>
      <c r="C166" s="30"/>
      <c r="D166" s="17"/>
      <c r="E166" s="17"/>
      <c r="F166" s="25"/>
      <c r="G166" s="25">
        <f t="shared" si="4"/>
        <v>0</v>
      </c>
      <c r="H166" s="17"/>
      <c r="I166" s="17"/>
      <c r="J166" s="17"/>
    </row>
    <row r="167" spans="1:10" x14ac:dyDescent="0.25">
      <c r="A167" s="11"/>
      <c r="B167" s="17"/>
      <c r="C167" s="30"/>
      <c r="D167" s="17"/>
      <c r="E167" s="17"/>
      <c r="F167" s="25"/>
      <c r="G167" s="25">
        <f t="shared" si="4"/>
        <v>0</v>
      </c>
      <c r="H167" s="17"/>
      <c r="I167" s="17"/>
      <c r="J167" s="17"/>
    </row>
    <row r="168" spans="1:10" x14ac:dyDescent="0.25">
      <c r="A168" s="11"/>
      <c r="B168" s="17"/>
      <c r="C168" s="30"/>
      <c r="D168" s="17"/>
      <c r="E168" s="17"/>
      <c r="F168" s="25"/>
      <c r="G168" s="25">
        <f t="shared" si="4"/>
        <v>0</v>
      </c>
      <c r="H168" s="17"/>
      <c r="I168" s="17"/>
      <c r="J168" s="17"/>
    </row>
    <row r="169" spans="1:10" x14ac:dyDescent="0.25">
      <c r="A169" s="11"/>
      <c r="B169" s="17"/>
      <c r="C169" s="30"/>
      <c r="D169" s="17"/>
      <c r="E169" s="17"/>
      <c r="F169" s="25"/>
      <c r="G169" s="25">
        <f t="shared" si="4"/>
        <v>0</v>
      </c>
      <c r="H169" s="17"/>
      <c r="I169" s="17"/>
      <c r="J169" s="17"/>
    </row>
    <row r="170" spans="1:10" x14ac:dyDescent="0.25">
      <c r="A170" s="11"/>
      <c r="B170" s="17"/>
      <c r="C170" s="30"/>
      <c r="D170" s="17"/>
      <c r="E170" s="17"/>
      <c r="F170" s="25"/>
      <c r="G170" s="25">
        <f t="shared" si="4"/>
        <v>0</v>
      </c>
      <c r="H170" s="17"/>
      <c r="I170" s="17"/>
      <c r="J170" s="17"/>
    </row>
    <row r="171" spans="1:10" x14ac:dyDescent="0.25">
      <c r="A171" s="11"/>
      <c r="B171" s="17"/>
      <c r="C171" s="30"/>
      <c r="D171" s="17"/>
      <c r="E171" s="17"/>
      <c r="F171" s="25"/>
      <c r="G171" s="25">
        <f t="shared" si="4"/>
        <v>0</v>
      </c>
      <c r="H171" s="17"/>
      <c r="I171" s="17"/>
      <c r="J171" s="17"/>
    </row>
    <row r="172" spans="1:10" x14ac:dyDescent="0.25">
      <c r="A172" s="11"/>
      <c r="B172" s="17"/>
      <c r="C172" s="30"/>
      <c r="D172" s="17"/>
      <c r="E172" s="17"/>
      <c r="F172" s="25"/>
      <c r="G172" s="25">
        <f t="shared" si="4"/>
        <v>0</v>
      </c>
      <c r="H172" s="17"/>
      <c r="I172" s="17"/>
      <c r="J172" s="17"/>
    </row>
    <row r="173" spans="1:10" x14ac:dyDescent="0.25">
      <c r="A173" s="11"/>
      <c r="B173" s="17"/>
      <c r="C173" s="30"/>
      <c r="D173" s="17"/>
      <c r="E173" s="17"/>
      <c r="F173" s="25"/>
      <c r="G173" s="25">
        <f t="shared" si="4"/>
        <v>0</v>
      </c>
      <c r="H173" s="17"/>
      <c r="I173" s="17"/>
      <c r="J173" s="17"/>
    </row>
    <row r="174" spans="1:10" x14ac:dyDescent="0.25">
      <c r="A174" s="11"/>
      <c r="B174" s="17"/>
      <c r="C174" s="30"/>
      <c r="D174" s="17"/>
      <c r="E174" s="17"/>
      <c r="F174" s="25"/>
      <c r="G174" s="25">
        <f t="shared" si="4"/>
        <v>0</v>
      </c>
      <c r="H174" s="17"/>
      <c r="I174" s="17"/>
      <c r="J174" s="17"/>
    </row>
    <row r="175" spans="1:10" x14ac:dyDescent="0.25">
      <c r="A175" s="11"/>
      <c r="B175" s="17"/>
      <c r="C175" s="30"/>
      <c r="D175" s="17"/>
      <c r="E175" s="17"/>
      <c r="F175" s="25"/>
      <c r="G175" s="25">
        <f t="shared" si="4"/>
        <v>0</v>
      </c>
      <c r="H175" s="17"/>
      <c r="I175" s="17"/>
      <c r="J175" s="17"/>
    </row>
    <row r="176" spans="1:10" x14ac:dyDescent="0.25">
      <c r="A176" s="11"/>
      <c r="B176" s="17"/>
      <c r="C176" s="30"/>
      <c r="D176" s="17"/>
      <c r="E176" s="17"/>
      <c r="F176" s="25"/>
      <c r="G176" s="25">
        <f t="shared" si="4"/>
        <v>0</v>
      </c>
      <c r="H176" s="17"/>
      <c r="I176" s="17"/>
      <c r="J176" s="17"/>
    </row>
    <row r="177" spans="1:10" x14ac:dyDescent="0.25">
      <c r="A177" s="11"/>
      <c r="B177" s="17"/>
      <c r="C177" s="30"/>
      <c r="D177" s="17"/>
      <c r="E177" s="17"/>
      <c r="F177" s="25"/>
      <c r="G177" s="25">
        <f t="shared" si="4"/>
        <v>0</v>
      </c>
      <c r="H177" s="17"/>
      <c r="I177" s="17"/>
      <c r="J177" s="17"/>
    </row>
    <row r="178" spans="1:10" x14ac:dyDescent="0.25">
      <c r="A178" s="11"/>
      <c r="B178" s="17"/>
      <c r="C178" s="30"/>
      <c r="D178" s="17"/>
      <c r="E178" s="17"/>
      <c r="F178" s="25"/>
      <c r="G178" s="25">
        <f t="shared" si="4"/>
        <v>0</v>
      </c>
      <c r="H178" s="17"/>
      <c r="I178" s="17"/>
      <c r="J178" s="17"/>
    </row>
    <row r="179" spans="1:10" x14ac:dyDescent="0.25">
      <c r="A179" s="11"/>
      <c r="B179" s="17"/>
      <c r="C179" s="30"/>
      <c r="D179" s="17"/>
      <c r="E179" s="17"/>
      <c r="F179" s="25"/>
      <c r="G179" s="25">
        <f t="shared" si="4"/>
        <v>0</v>
      </c>
      <c r="H179" s="17"/>
      <c r="I179" s="17"/>
      <c r="J179" s="17"/>
    </row>
    <row r="180" spans="1:10" x14ac:dyDescent="0.25">
      <c r="A180" s="11"/>
      <c r="B180" s="17"/>
      <c r="C180" s="30"/>
      <c r="D180" s="17"/>
      <c r="E180" s="17"/>
      <c r="F180" s="25"/>
      <c r="G180" s="25">
        <f t="shared" si="4"/>
        <v>0</v>
      </c>
      <c r="H180" s="17"/>
      <c r="I180" s="17"/>
      <c r="J180" s="17"/>
    </row>
    <row r="181" spans="1:10" x14ac:dyDescent="0.25">
      <c r="A181" s="11"/>
      <c r="B181" s="17"/>
      <c r="C181" s="30"/>
      <c r="D181" s="17"/>
      <c r="E181" s="17"/>
      <c r="F181" s="25"/>
      <c r="G181" s="25">
        <f t="shared" si="4"/>
        <v>0</v>
      </c>
      <c r="H181" s="17"/>
      <c r="I181" s="17"/>
      <c r="J181" s="17"/>
    </row>
    <row r="182" spans="1:10" x14ac:dyDescent="0.25">
      <c r="A182" s="11"/>
      <c r="B182" s="17"/>
      <c r="C182" s="30"/>
      <c r="D182" s="17"/>
      <c r="E182" s="17"/>
      <c r="F182" s="25"/>
      <c r="G182" s="25">
        <f t="shared" si="4"/>
        <v>0</v>
      </c>
      <c r="H182" s="17"/>
      <c r="I182" s="17"/>
      <c r="J182" s="17"/>
    </row>
    <row r="183" spans="1:10" x14ac:dyDescent="0.25">
      <c r="A183" s="11"/>
      <c r="B183" s="17"/>
      <c r="C183" s="30"/>
      <c r="D183" s="17"/>
      <c r="E183" s="17"/>
      <c r="F183" s="25"/>
      <c r="G183" s="25">
        <f t="shared" si="4"/>
        <v>0</v>
      </c>
      <c r="H183" s="17"/>
      <c r="I183" s="17"/>
      <c r="J183" s="17"/>
    </row>
    <row r="184" spans="1:10" x14ac:dyDescent="0.25">
      <c r="A184" s="11"/>
      <c r="B184" s="17"/>
      <c r="C184" s="30"/>
      <c r="D184" s="17"/>
      <c r="E184" s="17"/>
      <c r="F184" s="25"/>
      <c r="G184" s="25">
        <f t="shared" si="4"/>
        <v>0</v>
      </c>
      <c r="H184" s="17"/>
      <c r="I184" s="17"/>
      <c r="J184" s="17"/>
    </row>
    <row r="185" spans="1:10" x14ac:dyDescent="0.25">
      <c r="A185" s="11"/>
      <c r="B185" s="17"/>
      <c r="C185" s="30"/>
      <c r="D185" s="17"/>
      <c r="E185" s="17"/>
      <c r="F185" s="25"/>
      <c r="G185" s="25">
        <f t="shared" si="4"/>
        <v>0</v>
      </c>
      <c r="H185" s="17"/>
      <c r="I185" s="17"/>
      <c r="J185" s="17"/>
    </row>
    <row r="186" spans="1:10" x14ac:dyDescent="0.25">
      <c r="A186" s="11"/>
      <c r="B186" s="17"/>
      <c r="C186" s="30"/>
      <c r="D186" s="17"/>
      <c r="E186" s="17"/>
      <c r="F186" s="25"/>
      <c r="G186" s="25">
        <f t="shared" si="4"/>
        <v>0</v>
      </c>
      <c r="H186" s="17"/>
      <c r="I186" s="17"/>
      <c r="J186" s="17"/>
    </row>
    <row r="187" spans="1:10" x14ac:dyDescent="0.25">
      <c r="A187" s="11"/>
      <c r="B187" s="17"/>
      <c r="C187" s="30"/>
      <c r="D187" s="17"/>
      <c r="E187" s="17"/>
      <c r="F187" s="25"/>
      <c r="G187" s="25">
        <f t="shared" si="4"/>
        <v>0</v>
      </c>
      <c r="H187" s="17"/>
      <c r="I187" s="17"/>
      <c r="J187" s="17"/>
    </row>
    <row r="188" spans="1:10" x14ac:dyDescent="0.25">
      <c r="A188" s="11"/>
      <c r="B188" s="17"/>
      <c r="C188" s="30"/>
      <c r="D188" s="17"/>
      <c r="E188" s="17"/>
      <c r="F188" s="25"/>
      <c r="G188" s="25">
        <f t="shared" si="4"/>
        <v>0</v>
      </c>
      <c r="H188" s="17"/>
      <c r="I188" s="17"/>
      <c r="J188" s="17"/>
    </row>
    <row r="189" spans="1:10" x14ac:dyDescent="0.25">
      <c r="A189" s="11"/>
      <c r="B189" s="17"/>
      <c r="C189" s="30"/>
      <c r="D189" s="17"/>
      <c r="E189" s="17"/>
      <c r="F189" s="25"/>
      <c r="G189" s="25">
        <f t="shared" si="4"/>
        <v>0</v>
      </c>
      <c r="H189" s="17"/>
      <c r="I189" s="17"/>
      <c r="J189" s="17"/>
    </row>
    <row r="190" spans="1:10" x14ac:dyDescent="0.25">
      <c r="A190" s="11"/>
      <c r="B190" s="17"/>
      <c r="C190" s="30"/>
      <c r="D190" s="17"/>
      <c r="E190" s="17"/>
      <c r="F190" s="25"/>
      <c r="G190" s="25">
        <f t="shared" si="4"/>
        <v>0</v>
      </c>
      <c r="H190" s="17"/>
      <c r="I190" s="17"/>
      <c r="J190" s="17"/>
    </row>
    <row r="191" spans="1:10" x14ac:dyDescent="0.25">
      <c r="A191" s="11"/>
      <c r="B191" s="17"/>
      <c r="C191" s="30"/>
      <c r="D191" s="17"/>
      <c r="E191" s="17"/>
      <c r="F191" s="25"/>
      <c r="G191" s="25">
        <f t="shared" si="4"/>
        <v>0</v>
      </c>
      <c r="H191" s="17"/>
      <c r="I191" s="17"/>
      <c r="J191" s="17"/>
    </row>
    <row r="192" spans="1:10" x14ac:dyDescent="0.25">
      <c r="A192" s="11"/>
      <c r="B192" s="17"/>
      <c r="C192" s="30"/>
      <c r="D192" s="17"/>
      <c r="E192" s="17"/>
      <c r="F192" s="25"/>
      <c r="G192" s="25">
        <f t="shared" si="4"/>
        <v>0</v>
      </c>
      <c r="H192" s="17"/>
      <c r="I192" s="17"/>
      <c r="J192" s="17"/>
    </row>
    <row r="193" spans="1:10" x14ac:dyDescent="0.25">
      <c r="A193" s="11"/>
      <c r="B193" s="17"/>
      <c r="C193" s="30"/>
      <c r="D193" s="17"/>
      <c r="E193" s="17"/>
      <c r="F193" s="25"/>
      <c r="G193" s="25">
        <f t="shared" si="4"/>
        <v>0</v>
      </c>
      <c r="H193" s="17"/>
      <c r="I193" s="17"/>
      <c r="J193" s="17"/>
    </row>
    <row r="194" spans="1:10" x14ac:dyDescent="0.25">
      <c r="A194" s="11"/>
      <c r="B194" s="17"/>
      <c r="C194" s="30"/>
      <c r="D194" s="17"/>
      <c r="E194" s="17"/>
      <c r="F194" s="25"/>
      <c r="G194" s="25">
        <f t="shared" si="4"/>
        <v>0</v>
      </c>
      <c r="H194" s="17"/>
      <c r="I194" s="17"/>
      <c r="J194" s="17"/>
    </row>
    <row r="195" spans="1:10" x14ac:dyDescent="0.25">
      <c r="A195" s="11"/>
      <c r="B195" s="17"/>
      <c r="C195" s="30"/>
      <c r="D195" s="17"/>
      <c r="E195" s="17"/>
      <c r="F195" s="25"/>
      <c r="G195" s="25">
        <f t="shared" si="4"/>
        <v>0</v>
      </c>
      <c r="H195" s="17"/>
      <c r="I195" s="17"/>
      <c r="J195" s="17"/>
    </row>
    <row r="196" spans="1:10" x14ac:dyDescent="0.25">
      <c r="A196" s="11"/>
      <c r="B196" s="17"/>
      <c r="C196" s="30"/>
      <c r="D196" s="17"/>
      <c r="E196" s="17"/>
      <c r="F196" s="25"/>
      <c r="G196" s="25">
        <f t="shared" si="4"/>
        <v>0</v>
      </c>
      <c r="H196" s="17"/>
      <c r="I196" s="17"/>
      <c r="J196" s="17"/>
    </row>
    <row r="197" spans="1:10" x14ac:dyDescent="0.25">
      <c r="A197" s="11"/>
      <c r="B197" s="17"/>
      <c r="C197" s="30"/>
      <c r="D197" s="17"/>
      <c r="E197" s="17"/>
      <c r="F197" s="25"/>
      <c r="G197" s="25">
        <f t="shared" si="4"/>
        <v>0</v>
      </c>
      <c r="H197" s="17"/>
      <c r="I197" s="17"/>
      <c r="J197" s="17"/>
    </row>
    <row r="198" spans="1:10" x14ac:dyDescent="0.25">
      <c r="A198" s="11"/>
      <c r="B198" s="17"/>
      <c r="C198" s="30"/>
      <c r="D198" s="17"/>
      <c r="E198" s="17"/>
      <c r="F198" s="25"/>
      <c r="G198" s="25">
        <f t="shared" si="4"/>
        <v>0</v>
      </c>
      <c r="H198" s="17"/>
      <c r="I198" s="17"/>
      <c r="J198" s="17"/>
    </row>
    <row r="199" spans="1:10" x14ac:dyDescent="0.25">
      <c r="A199" s="11"/>
      <c r="B199" s="17"/>
      <c r="C199" s="30"/>
      <c r="D199" s="17"/>
      <c r="E199" s="17"/>
      <c r="F199" s="25"/>
      <c r="G199" s="25">
        <f t="shared" si="4"/>
        <v>0</v>
      </c>
      <c r="H199" s="17"/>
      <c r="I199" s="17"/>
      <c r="J199" s="17"/>
    </row>
    <row r="200" spans="1:10" x14ac:dyDescent="0.25">
      <c r="A200" s="11"/>
      <c r="B200" s="17"/>
      <c r="C200" s="30"/>
      <c r="D200" s="17"/>
      <c r="E200" s="17"/>
      <c r="F200" s="25"/>
      <c r="G200" s="25">
        <f t="shared" si="4"/>
        <v>0</v>
      </c>
      <c r="H200" s="17"/>
      <c r="I200" s="17"/>
      <c r="J200" s="17"/>
    </row>
    <row r="201" spans="1:10" x14ac:dyDescent="0.25">
      <c r="A201" s="11"/>
      <c r="B201" s="17"/>
      <c r="C201" s="30"/>
      <c r="D201" s="17"/>
      <c r="E201" s="17"/>
      <c r="F201" s="25"/>
      <c r="G201" s="25">
        <f t="shared" si="4"/>
        <v>0</v>
      </c>
      <c r="H201" s="17"/>
      <c r="I201" s="17"/>
      <c r="J201" s="17"/>
    </row>
    <row r="202" spans="1:10" x14ac:dyDescent="0.25">
      <c r="A202" s="11"/>
      <c r="B202" s="17"/>
      <c r="C202" s="30"/>
      <c r="D202" s="17"/>
      <c r="E202" s="17"/>
      <c r="F202" s="25"/>
      <c r="G202" s="25">
        <f t="shared" si="4"/>
        <v>0</v>
      </c>
      <c r="H202" s="17"/>
      <c r="I202" s="17"/>
      <c r="J202" s="17"/>
    </row>
    <row r="203" spans="1:10" x14ac:dyDescent="0.25">
      <c r="A203" s="11"/>
      <c r="B203" s="17"/>
      <c r="C203" s="30"/>
      <c r="D203" s="17"/>
      <c r="E203" s="17"/>
      <c r="F203" s="25"/>
      <c r="G203" s="25">
        <f t="shared" si="4"/>
        <v>0</v>
      </c>
      <c r="H203" s="17"/>
      <c r="I203" s="17"/>
      <c r="J203" s="17"/>
    </row>
    <row r="204" spans="1:10" x14ac:dyDescent="0.25">
      <c r="A204" s="11"/>
      <c r="B204" s="17"/>
      <c r="C204" s="30"/>
      <c r="D204" s="17"/>
      <c r="E204" s="17"/>
      <c r="F204" s="25"/>
      <c r="G204" s="25">
        <f t="shared" si="4"/>
        <v>0</v>
      </c>
      <c r="H204" s="17"/>
      <c r="I204" s="17"/>
      <c r="J204" s="17"/>
    </row>
    <row r="205" spans="1:10" x14ac:dyDescent="0.25">
      <c r="A205" s="11"/>
      <c r="B205" s="17"/>
      <c r="C205" s="30"/>
      <c r="D205" s="17"/>
      <c r="E205" s="17"/>
      <c r="F205" s="25"/>
      <c r="G205" s="25">
        <f t="shared" si="4"/>
        <v>0</v>
      </c>
      <c r="H205" s="17"/>
      <c r="I205" s="17"/>
      <c r="J205" s="17"/>
    </row>
    <row r="206" spans="1:10" x14ac:dyDescent="0.25">
      <c r="A206" s="11"/>
      <c r="B206" s="17"/>
      <c r="C206" s="30"/>
      <c r="D206" s="17"/>
      <c r="E206" s="17"/>
      <c r="F206" s="25"/>
      <c r="G206" s="25">
        <f t="shared" si="4"/>
        <v>0</v>
      </c>
      <c r="H206" s="17"/>
      <c r="I206" s="17"/>
      <c r="J206" s="17"/>
    </row>
    <row r="207" spans="1:10" x14ac:dyDescent="0.25">
      <c r="A207" s="11"/>
      <c r="B207" s="17"/>
      <c r="C207" s="30"/>
      <c r="D207" s="17"/>
      <c r="E207" s="17"/>
      <c r="F207" s="25"/>
      <c r="G207" s="25">
        <f t="shared" si="4"/>
        <v>0</v>
      </c>
      <c r="H207" s="17"/>
      <c r="I207" s="17"/>
      <c r="J207" s="17"/>
    </row>
    <row r="208" spans="1:10" x14ac:dyDescent="0.25">
      <c r="A208" s="11"/>
      <c r="B208" s="17"/>
      <c r="C208" s="30"/>
      <c r="D208" s="17"/>
      <c r="E208" s="17"/>
      <c r="F208" s="25"/>
      <c r="G208" s="25">
        <f t="shared" si="4"/>
        <v>0</v>
      </c>
      <c r="H208" s="17"/>
      <c r="I208" s="17"/>
      <c r="J208" s="17"/>
    </row>
    <row r="209" spans="1:10" x14ac:dyDescent="0.25">
      <c r="A209" s="11"/>
      <c r="B209" s="17"/>
      <c r="C209" s="30"/>
      <c r="D209" s="17"/>
      <c r="E209" s="17"/>
      <c r="F209" s="25"/>
      <c r="G209" s="25">
        <f t="shared" si="4"/>
        <v>0</v>
      </c>
      <c r="H209" s="17"/>
      <c r="I209" s="17"/>
      <c r="J209" s="17"/>
    </row>
    <row r="210" spans="1:10" x14ac:dyDescent="0.25">
      <c r="A210" s="11"/>
      <c r="B210" s="17"/>
      <c r="C210" s="30"/>
      <c r="D210" s="17"/>
      <c r="E210" s="17"/>
      <c r="F210" s="25"/>
      <c r="G210" s="25">
        <f t="shared" si="4"/>
        <v>0</v>
      </c>
      <c r="H210" s="17"/>
      <c r="I210" s="17"/>
      <c r="J210" s="17"/>
    </row>
    <row r="211" spans="1:10" x14ac:dyDescent="0.25">
      <c r="A211" s="11"/>
      <c r="B211" s="17"/>
      <c r="C211" s="30"/>
      <c r="D211" s="17"/>
      <c r="E211" s="17"/>
      <c r="F211" s="25"/>
      <c r="G211" s="25">
        <f t="shared" si="4"/>
        <v>0</v>
      </c>
      <c r="H211" s="17"/>
      <c r="I211" s="17"/>
      <c r="J211" s="17"/>
    </row>
    <row r="212" spans="1:10" x14ac:dyDescent="0.25">
      <c r="A212" s="11"/>
      <c r="B212" s="17"/>
      <c r="C212" s="30"/>
      <c r="D212" s="17"/>
      <c r="E212" s="17"/>
      <c r="F212" s="25"/>
      <c r="G212" s="25">
        <f t="shared" si="4"/>
        <v>0</v>
      </c>
      <c r="H212" s="17"/>
      <c r="I212" s="17"/>
      <c r="J212" s="17"/>
    </row>
    <row r="213" spans="1:10" x14ac:dyDescent="0.25">
      <c r="A213" s="11"/>
      <c r="B213" s="17"/>
      <c r="C213" s="30"/>
      <c r="D213" s="17"/>
      <c r="E213" s="17"/>
      <c r="F213" s="25"/>
      <c r="G213" s="25">
        <f t="shared" si="4"/>
        <v>0</v>
      </c>
      <c r="H213" s="17"/>
      <c r="I213" s="17"/>
      <c r="J213" s="17"/>
    </row>
    <row r="214" spans="1:10" x14ac:dyDescent="0.25">
      <c r="A214" s="11"/>
      <c r="B214" s="17"/>
      <c r="C214" s="30"/>
      <c r="D214" s="17"/>
      <c r="E214" s="17"/>
      <c r="F214" s="25"/>
      <c r="G214" s="25">
        <f t="shared" si="4"/>
        <v>0</v>
      </c>
      <c r="H214" s="17"/>
      <c r="I214" s="17"/>
      <c r="J214" s="17"/>
    </row>
    <row r="215" spans="1:10" x14ac:dyDescent="0.25">
      <c r="A215" s="11"/>
      <c r="B215" s="17"/>
      <c r="C215" s="30"/>
      <c r="D215" s="17"/>
      <c r="E215" s="17"/>
      <c r="F215" s="25"/>
      <c r="G215" s="25">
        <f t="shared" si="4"/>
        <v>0</v>
      </c>
      <c r="H215" s="17"/>
      <c r="I215" s="17"/>
      <c r="J215" s="17"/>
    </row>
    <row r="216" spans="1:10" x14ac:dyDescent="0.25">
      <c r="A216" s="11"/>
      <c r="B216" s="17"/>
      <c r="C216" s="30"/>
      <c r="D216" s="17"/>
      <c r="E216" s="17"/>
      <c r="F216" s="25"/>
      <c r="G216" s="25">
        <f t="shared" si="4"/>
        <v>0</v>
      </c>
      <c r="H216" s="17"/>
      <c r="I216" s="17"/>
      <c r="J216" s="17"/>
    </row>
    <row r="217" spans="1:10" x14ac:dyDescent="0.25">
      <c r="A217" s="11"/>
      <c r="B217" s="17"/>
      <c r="C217" s="30"/>
      <c r="D217" s="17"/>
      <c r="E217" s="17"/>
      <c r="F217" s="25"/>
      <c r="G217" s="25">
        <f t="shared" si="4"/>
        <v>0</v>
      </c>
      <c r="H217" s="17"/>
      <c r="I217" s="17"/>
      <c r="J217" s="17"/>
    </row>
    <row r="218" spans="1:10" x14ac:dyDescent="0.25">
      <c r="A218" s="11"/>
      <c r="B218" s="17"/>
      <c r="C218" s="30"/>
      <c r="D218" s="17"/>
      <c r="E218" s="17"/>
      <c r="F218" s="25"/>
      <c r="G218" s="25">
        <f t="shared" si="4"/>
        <v>0</v>
      </c>
      <c r="H218" s="17"/>
      <c r="I218" s="17"/>
      <c r="J218" s="17"/>
    </row>
    <row r="219" spans="1:10" x14ac:dyDescent="0.25">
      <c r="A219" s="11"/>
      <c r="B219" s="17"/>
      <c r="C219" s="30"/>
      <c r="D219" s="17"/>
      <c r="E219" s="17"/>
      <c r="F219" s="25"/>
      <c r="G219" s="25">
        <f t="shared" si="4"/>
        <v>0</v>
      </c>
      <c r="H219" s="17"/>
      <c r="I219" s="17"/>
      <c r="J219" s="17"/>
    </row>
    <row r="220" spans="1:10" x14ac:dyDescent="0.25">
      <c r="A220" s="11"/>
      <c r="B220" s="17"/>
      <c r="C220" s="30"/>
      <c r="D220" s="17"/>
      <c r="E220" s="17"/>
      <c r="F220" s="25"/>
      <c r="G220" s="25">
        <f t="shared" si="4"/>
        <v>0</v>
      </c>
      <c r="H220" s="17"/>
      <c r="I220" s="17"/>
      <c r="J220" s="17"/>
    </row>
    <row r="221" spans="1:10" x14ac:dyDescent="0.25">
      <c r="A221" s="11"/>
      <c r="B221" s="17"/>
      <c r="C221" s="30"/>
      <c r="D221" s="17"/>
      <c r="E221" s="17"/>
      <c r="F221" s="25"/>
      <c r="G221" s="25">
        <f t="shared" si="4"/>
        <v>0</v>
      </c>
      <c r="H221" s="17"/>
      <c r="I221" s="17"/>
      <c r="J221" s="17"/>
    </row>
    <row r="222" spans="1:10" x14ac:dyDescent="0.25">
      <c r="A222" s="11"/>
      <c r="B222" s="17"/>
      <c r="C222" s="30"/>
      <c r="D222" s="17"/>
      <c r="E222" s="17"/>
      <c r="F222" s="25"/>
      <c r="G222" s="25">
        <f t="shared" si="4"/>
        <v>0</v>
      </c>
      <c r="H222" s="17"/>
      <c r="I222" s="17"/>
      <c r="J222" s="17"/>
    </row>
    <row r="223" spans="1:10" x14ac:dyDescent="0.25">
      <c r="A223" s="11"/>
      <c r="B223" s="17"/>
      <c r="C223" s="30"/>
      <c r="D223" s="17"/>
      <c r="E223" s="17"/>
      <c r="F223" s="25"/>
      <c r="G223" s="25">
        <f t="shared" si="4"/>
        <v>0</v>
      </c>
      <c r="H223" s="17"/>
      <c r="I223" s="17"/>
      <c r="J223" s="17"/>
    </row>
    <row r="224" spans="1:10" x14ac:dyDescent="0.25">
      <c r="A224" s="11"/>
      <c r="B224" s="17"/>
      <c r="C224" s="30"/>
      <c r="D224" s="17"/>
      <c r="E224" s="17"/>
      <c r="F224" s="25"/>
      <c r="G224" s="25">
        <f t="shared" si="4"/>
        <v>0</v>
      </c>
      <c r="H224" s="17"/>
      <c r="I224" s="17"/>
      <c r="J224" s="17"/>
    </row>
    <row r="225" spans="1:10" x14ac:dyDescent="0.25">
      <c r="A225" s="11"/>
      <c r="B225" s="17"/>
      <c r="C225" s="30"/>
      <c r="D225" s="17"/>
      <c r="E225" s="17"/>
      <c r="F225" s="25"/>
      <c r="G225" s="25">
        <f t="shared" si="4"/>
        <v>0</v>
      </c>
      <c r="H225" s="17"/>
      <c r="I225" s="17"/>
      <c r="J225" s="17"/>
    </row>
    <row r="226" spans="1:10" x14ac:dyDescent="0.25">
      <c r="A226" s="11"/>
      <c r="B226" s="17"/>
      <c r="C226" s="30"/>
      <c r="D226" s="17"/>
      <c r="E226" s="17"/>
      <c r="F226" s="25"/>
      <c r="G226" s="25">
        <f t="shared" si="4"/>
        <v>0</v>
      </c>
      <c r="H226" s="17"/>
      <c r="I226" s="17"/>
      <c r="J226" s="17"/>
    </row>
    <row r="227" spans="1:10" x14ac:dyDescent="0.25">
      <c r="A227" s="11"/>
      <c r="B227" s="17"/>
      <c r="C227" s="30"/>
      <c r="D227" s="17"/>
      <c r="E227" s="17"/>
      <c r="F227" s="25"/>
      <c r="G227" s="25">
        <f t="shared" si="4"/>
        <v>0</v>
      </c>
      <c r="H227" s="17"/>
      <c r="I227" s="17"/>
      <c r="J227" s="17"/>
    </row>
    <row r="228" spans="1:10" x14ac:dyDescent="0.25">
      <c r="A228" s="11"/>
      <c r="B228" s="17"/>
      <c r="C228" s="30"/>
      <c r="D228" s="17"/>
      <c r="E228" s="17"/>
      <c r="F228" s="25"/>
      <c r="G228" s="25">
        <f t="shared" si="4"/>
        <v>0</v>
      </c>
      <c r="H228" s="17"/>
      <c r="I228" s="17"/>
      <c r="J228" s="17"/>
    </row>
    <row r="229" spans="1:10" x14ac:dyDescent="0.25">
      <c r="A229" s="11"/>
      <c r="B229" s="17"/>
      <c r="C229" s="30"/>
      <c r="D229" s="17"/>
      <c r="E229" s="17"/>
      <c r="F229" s="25"/>
      <c r="G229" s="25">
        <f t="shared" si="4"/>
        <v>0</v>
      </c>
      <c r="H229" s="17"/>
      <c r="I229" s="17"/>
      <c r="J229" s="17"/>
    </row>
    <row r="230" spans="1:10" x14ac:dyDescent="0.25">
      <c r="A230" s="11"/>
      <c r="B230" s="17"/>
      <c r="C230" s="30"/>
      <c r="D230" s="17"/>
      <c r="E230" s="17"/>
      <c r="F230" s="25"/>
      <c r="G230" s="25">
        <f t="shared" si="4"/>
        <v>0</v>
      </c>
      <c r="H230" s="17"/>
      <c r="I230" s="17"/>
      <c r="J230" s="17"/>
    </row>
    <row r="231" spans="1:10" x14ac:dyDescent="0.25">
      <c r="A231" s="11"/>
      <c r="B231" s="17"/>
      <c r="C231" s="30"/>
      <c r="D231" s="17"/>
      <c r="E231" s="17"/>
      <c r="F231" s="25"/>
      <c r="G231" s="25">
        <f t="shared" si="4"/>
        <v>0</v>
      </c>
      <c r="H231" s="17"/>
      <c r="I231" s="17"/>
      <c r="J231" s="17"/>
    </row>
    <row r="232" spans="1:10" x14ac:dyDescent="0.25">
      <c r="A232" s="11"/>
      <c r="B232" s="17"/>
      <c r="C232" s="30"/>
      <c r="D232" s="17"/>
      <c r="E232" s="17"/>
      <c r="F232" s="25"/>
      <c r="G232" s="25">
        <f t="shared" si="4"/>
        <v>0</v>
      </c>
      <c r="H232" s="17"/>
      <c r="I232" s="17"/>
      <c r="J232" s="17"/>
    </row>
    <row r="233" spans="1:10" x14ac:dyDescent="0.25">
      <c r="A233" s="11"/>
      <c r="B233" s="17"/>
      <c r="C233" s="30"/>
      <c r="D233" s="17"/>
      <c r="E233" s="17"/>
      <c r="F233" s="25"/>
      <c r="G233" s="25">
        <f t="shared" si="4"/>
        <v>0</v>
      </c>
      <c r="H233" s="17"/>
      <c r="I233" s="17"/>
      <c r="J233" s="17"/>
    </row>
    <row r="234" spans="1:10" x14ac:dyDescent="0.25">
      <c r="A234" s="11"/>
      <c r="B234" s="17"/>
      <c r="C234" s="30"/>
      <c r="D234" s="17"/>
      <c r="E234" s="17"/>
      <c r="F234" s="25"/>
      <c r="G234" s="25">
        <f t="shared" si="4"/>
        <v>0</v>
      </c>
      <c r="H234" s="17"/>
      <c r="I234" s="17"/>
      <c r="J234" s="17"/>
    </row>
    <row r="235" spans="1:10" x14ac:dyDescent="0.25">
      <c r="A235" s="11"/>
      <c r="B235" s="17"/>
      <c r="C235" s="30"/>
      <c r="D235" s="17"/>
      <c r="E235" s="17"/>
      <c r="F235" s="25"/>
      <c r="G235" s="25">
        <f t="shared" si="4"/>
        <v>0</v>
      </c>
      <c r="H235" s="17"/>
      <c r="I235" s="17"/>
      <c r="J235" s="17"/>
    </row>
    <row r="236" spans="1:10" x14ac:dyDescent="0.25">
      <c r="A236" s="11"/>
      <c r="B236" s="17"/>
      <c r="C236" s="30"/>
      <c r="D236" s="17"/>
      <c r="E236" s="17"/>
      <c r="F236" s="25"/>
      <c r="G236" s="25">
        <f t="shared" si="4"/>
        <v>0</v>
      </c>
      <c r="H236" s="17"/>
      <c r="I236" s="17"/>
      <c r="J236" s="17"/>
    </row>
    <row r="237" spans="1:10" x14ac:dyDescent="0.25">
      <c r="A237" s="11"/>
      <c r="B237" s="17"/>
      <c r="C237" s="30"/>
      <c r="D237" s="17"/>
      <c r="E237" s="17"/>
      <c r="F237" s="25"/>
      <c r="G237" s="25">
        <f t="shared" si="4"/>
        <v>0</v>
      </c>
      <c r="H237" s="17"/>
      <c r="I237" s="17"/>
      <c r="J237" s="17"/>
    </row>
    <row r="238" spans="1:10" x14ac:dyDescent="0.25">
      <c r="A238" s="11"/>
      <c r="B238" s="17"/>
      <c r="C238" s="30"/>
      <c r="D238" s="17"/>
      <c r="E238" s="17"/>
      <c r="F238" s="25"/>
      <c r="G238" s="25">
        <f t="shared" si="4"/>
        <v>0</v>
      </c>
      <c r="H238" s="17"/>
      <c r="I238" s="17"/>
      <c r="J238" s="17"/>
    </row>
    <row r="239" spans="1:10" x14ac:dyDescent="0.25">
      <c r="A239" s="11"/>
      <c r="B239" s="17"/>
      <c r="C239" s="30"/>
      <c r="D239" s="17"/>
      <c r="E239" s="17"/>
      <c r="F239" s="25"/>
      <c r="G239" s="25">
        <f t="shared" si="4"/>
        <v>0</v>
      </c>
      <c r="H239" s="17"/>
      <c r="I239" s="17"/>
      <c r="J239" s="17"/>
    </row>
    <row r="240" spans="1:10" x14ac:dyDescent="0.25">
      <c r="A240" s="11"/>
      <c r="B240" s="17"/>
      <c r="C240" s="30"/>
      <c r="D240" s="17"/>
      <c r="E240" s="17"/>
      <c r="F240" s="25"/>
      <c r="G240" s="25">
        <f t="shared" si="4"/>
        <v>0</v>
      </c>
      <c r="H240" s="17"/>
      <c r="I240" s="17"/>
      <c r="J240" s="17"/>
    </row>
    <row r="241" spans="1:10" x14ac:dyDescent="0.25">
      <c r="A241" s="11"/>
      <c r="B241" s="17"/>
      <c r="C241" s="30"/>
      <c r="D241" s="17"/>
      <c r="E241" s="17"/>
      <c r="F241" s="25"/>
      <c r="G241" s="25">
        <f t="shared" si="4"/>
        <v>0</v>
      </c>
      <c r="H241" s="17"/>
      <c r="I241" s="17"/>
      <c r="J241" s="17"/>
    </row>
    <row r="242" spans="1:10" x14ac:dyDescent="0.25">
      <c r="A242" s="11"/>
      <c r="B242" s="17"/>
      <c r="C242" s="30"/>
      <c r="D242" s="17"/>
      <c r="E242" s="17"/>
      <c r="F242" s="25"/>
      <c r="G242" s="25">
        <f t="shared" si="4"/>
        <v>0</v>
      </c>
      <c r="H242" s="17"/>
      <c r="I242" s="17"/>
      <c r="J242" s="17"/>
    </row>
    <row r="243" spans="1:10" x14ac:dyDescent="0.25">
      <c r="A243" s="11"/>
      <c r="B243" s="17"/>
      <c r="C243" s="30"/>
      <c r="D243" s="17"/>
      <c r="E243" s="17"/>
      <c r="F243" s="25"/>
      <c r="G243" s="25">
        <f t="shared" si="4"/>
        <v>0</v>
      </c>
      <c r="H243" s="17"/>
      <c r="I243" s="17"/>
      <c r="J243" s="17"/>
    </row>
    <row r="244" spans="1:10" x14ac:dyDescent="0.25">
      <c r="A244" s="11"/>
      <c r="B244" s="17"/>
      <c r="C244" s="30"/>
      <c r="D244" s="17"/>
      <c r="E244" s="17"/>
      <c r="F244" s="25"/>
      <c r="G244" s="25">
        <f t="shared" si="4"/>
        <v>0</v>
      </c>
      <c r="H244" s="17"/>
      <c r="I244" s="17"/>
      <c r="J244" s="17"/>
    </row>
    <row r="245" spans="1:10" x14ac:dyDescent="0.25">
      <c r="A245" s="11"/>
      <c r="B245" s="17"/>
      <c r="C245" s="30"/>
      <c r="D245" s="17"/>
      <c r="E245" s="17"/>
      <c r="F245" s="25"/>
      <c r="G245" s="25">
        <f t="shared" si="4"/>
        <v>0</v>
      </c>
      <c r="H245" s="17"/>
      <c r="I245" s="17"/>
      <c r="J245" s="17"/>
    </row>
    <row r="246" spans="1:10" x14ac:dyDescent="0.25">
      <c r="A246" s="11"/>
      <c r="B246" s="17"/>
      <c r="C246" s="30"/>
      <c r="D246" s="17"/>
      <c r="E246" s="17"/>
      <c r="F246" s="25"/>
      <c r="G246" s="25">
        <f t="shared" si="4"/>
        <v>0</v>
      </c>
      <c r="H246" s="17"/>
      <c r="I246" s="17"/>
      <c r="J246" s="17"/>
    </row>
    <row r="247" spans="1:10" x14ac:dyDescent="0.25">
      <c r="A247" s="11"/>
      <c r="B247" s="17"/>
      <c r="C247" s="30"/>
      <c r="D247" s="17"/>
      <c r="E247" s="17"/>
      <c r="F247" s="25"/>
      <c r="G247" s="25">
        <f t="shared" si="4"/>
        <v>0</v>
      </c>
      <c r="H247" s="17"/>
      <c r="I247" s="17"/>
      <c r="J247" s="17"/>
    </row>
    <row r="248" spans="1:10" x14ac:dyDescent="0.25">
      <c r="A248" s="11"/>
      <c r="B248" s="17"/>
      <c r="C248" s="30"/>
      <c r="D248" s="17"/>
      <c r="E248" s="17"/>
      <c r="F248" s="25"/>
      <c r="G248" s="25">
        <f t="shared" si="4"/>
        <v>0</v>
      </c>
      <c r="H248" s="17"/>
      <c r="I248" s="17"/>
      <c r="J248" s="17"/>
    </row>
    <row r="249" spans="1:10" x14ac:dyDescent="0.25">
      <c r="A249" s="11"/>
      <c r="B249" s="17"/>
      <c r="C249" s="30"/>
      <c r="D249" s="17"/>
      <c r="E249" s="17"/>
      <c r="F249" s="25"/>
      <c r="G249" s="25">
        <f t="shared" si="4"/>
        <v>0</v>
      </c>
      <c r="H249" s="17"/>
      <c r="I249" s="17"/>
      <c r="J249" s="17"/>
    </row>
    <row r="250" spans="1:10" x14ac:dyDescent="0.25">
      <c r="A250" s="11"/>
      <c r="B250" s="17"/>
      <c r="C250" s="30"/>
      <c r="D250" s="17"/>
      <c r="E250" s="17"/>
      <c r="F250" s="25"/>
      <c r="G250" s="25">
        <f t="shared" si="4"/>
        <v>0</v>
      </c>
      <c r="H250" s="17"/>
      <c r="I250" s="17"/>
      <c r="J250" s="17"/>
    </row>
    <row r="251" spans="1:10" x14ac:dyDescent="0.25">
      <c r="A251" s="11"/>
      <c r="B251" s="17"/>
      <c r="C251" s="30"/>
      <c r="D251" s="17"/>
      <c r="E251" s="17"/>
      <c r="F251" s="25"/>
      <c r="G251" s="25">
        <f t="shared" si="4"/>
        <v>0</v>
      </c>
      <c r="H251" s="17"/>
      <c r="I251" s="17"/>
      <c r="J251" s="17"/>
    </row>
    <row r="252" spans="1:10" x14ac:dyDescent="0.25">
      <c r="A252" s="11"/>
      <c r="B252" s="17"/>
      <c r="C252" s="30"/>
      <c r="D252" s="17"/>
      <c r="E252" s="17"/>
      <c r="F252" s="25"/>
      <c r="G252" s="25">
        <f t="shared" si="4"/>
        <v>0</v>
      </c>
      <c r="H252" s="17"/>
      <c r="I252" s="17"/>
      <c r="J252" s="17"/>
    </row>
    <row r="253" spans="1:10" x14ac:dyDescent="0.25">
      <c r="A253" s="11"/>
      <c r="B253" s="17"/>
      <c r="C253" s="30"/>
      <c r="D253" s="17"/>
      <c r="E253" s="17"/>
      <c r="F253" s="25"/>
      <c r="G253" s="25">
        <f t="shared" si="4"/>
        <v>0</v>
      </c>
      <c r="H253" s="17"/>
      <c r="I253" s="17"/>
      <c r="J253" s="17"/>
    </row>
    <row r="254" spans="1:10" x14ac:dyDescent="0.25">
      <c r="A254" s="11"/>
      <c r="B254" s="17"/>
      <c r="C254" s="30"/>
      <c r="D254" s="17"/>
      <c r="E254" s="17"/>
      <c r="F254" s="25"/>
      <c r="G254" s="25">
        <f t="shared" si="4"/>
        <v>0</v>
      </c>
      <c r="H254" s="17"/>
      <c r="I254" s="17"/>
      <c r="J254" s="17"/>
    </row>
    <row r="255" spans="1:10" x14ac:dyDescent="0.25">
      <c r="A255" s="11"/>
      <c r="B255" s="17"/>
      <c r="C255" s="30"/>
      <c r="D255" s="17"/>
      <c r="E255" s="17"/>
      <c r="F255" s="25"/>
      <c r="G255" s="25">
        <f t="shared" si="4"/>
        <v>0</v>
      </c>
      <c r="H255" s="17"/>
      <c r="I255" s="17"/>
      <c r="J255" s="17"/>
    </row>
    <row r="256" spans="1:10" x14ac:dyDescent="0.25">
      <c r="A256" s="11"/>
      <c r="B256" s="17"/>
      <c r="C256" s="30"/>
      <c r="D256" s="17"/>
      <c r="E256" s="17"/>
      <c r="F256" s="25"/>
      <c r="G256" s="25">
        <f t="shared" si="4"/>
        <v>0</v>
      </c>
      <c r="H256" s="17"/>
      <c r="I256" s="17"/>
      <c r="J256" s="17"/>
    </row>
    <row r="257" spans="1:10" x14ac:dyDescent="0.25">
      <c r="A257" s="11"/>
      <c r="B257" s="17"/>
      <c r="C257" s="30"/>
      <c r="D257" s="17"/>
      <c r="E257" s="17"/>
      <c r="F257" s="25"/>
      <c r="G257" s="25">
        <f t="shared" si="4"/>
        <v>0</v>
      </c>
      <c r="H257" s="17"/>
      <c r="I257" s="17"/>
      <c r="J257" s="17"/>
    </row>
    <row r="258" spans="1:10" x14ac:dyDescent="0.25">
      <c r="A258" s="11"/>
      <c r="B258" s="17"/>
      <c r="C258" s="30"/>
      <c r="D258" s="17"/>
      <c r="E258" s="17"/>
      <c r="F258" s="25"/>
      <c r="G258" s="25">
        <f t="shared" si="4"/>
        <v>0</v>
      </c>
      <c r="H258" s="17"/>
      <c r="I258" s="17"/>
      <c r="J258" s="17"/>
    </row>
    <row r="259" spans="1:10" x14ac:dyDescent="0.25">
      <c r="A259" s="11"/>
      <c r="B259" s="17"/>
      <c r="C259" s="30"/>
      <c r="D259" s="17"/>
      <c r="E259" s="17"/>
      <c r="F259" s="25"/>
      <c r="G259" s="25">
        <f t="shared" si="4"/>
        <v>0</v>
      </c>
      <c r="H259" s="17"/>
      <c r="I259" s="17"/>
      <c r="J259" s="17"/>
    </row>
    <row r="260" spans="1:10" x14ac:dyDescent="0.25">
      <c r="A260" s="11"/>
      <c r="B260" s="17"/>
      <c r="C260" s="30"/>
      <c r="D260" s="17"/>
      <c r="E260" s="17"/>
      <c r="F260" s="25"/>
      <c r="G260" s="25">
        <f t="shared" si="4"/>
        <v>0</v>
      </c>
      <c r="H260" s="17"/>
      <c r="I260" s="17"/>
      <c r="J260" s="17"/>
    </row>
    <row r="261" spans="1:10" x14ac:dyDescent="0.25">
      <c r="A261" s="11"/>
      <c r="B261" s="17"/>
      <c r="C261" s="30"/>
      <c r="D261" s="17"/>
      <c r="E261" s="17"/>
      <c r="F261" s="25"/>
      <c r="G261" s="25">
        <f t="shared" si="4"/>
        <v>0</v>
      </c>
      <c r="H261" s="17"/>
      <c r="I261" s="17"/>
      <c r="J261" s="17"/>
    </row>
    <row r="262" spans="1:10" x14ac:dyDescent="0.25">
      <c r="A262" s="11"/>
      <c r="B262" s="17"/>
      <c r="C262" s="30"/>
      <c r="D262" s="17"/>
      <c r="E262" s="17"/>
      <c r="F262" s="25"/>
      <c r="G262" s="25">
        <f t="shared" si="4"/>
        <v>0</v>
      </c>
      <c r="H262" s="17"/>
      <c r="I262" s="17"/>
      <c r="J262" s="17"/>
    </row>
    <row r="263" spans="1:10" x14ac:dyDescent="0.25">
      <c r="A263" s="11"/>
      <c r="B263" s="17"/>
      <c r="C263" s="30"/>
      <c r="D263" s="17"/>
      <c r="E263" s="17"/>
      <c r="F263" s="25"/>
      <c r="G263" s="25">
        <f t="shared" si="4"/>
        <v>0</v>
      </c>
      <c r="H263" s="17"/>
      <c r="I263" s="17"/>
      <c r="J263" s="17"/>
    </row>
    <row r="264" spans="1:10" x14ac:dyDescent="0.25">
      <c r="A264" s="11"/>
      <c r="B264" s="17"/>
      <c r="C264" s="30"/>
      <c r="D264" s="17"/>
      <c r="E264" s="17"/>
      <c r="F264" s="25"/>
      <c r="G264" s="25">
        <f t="shared" si="4"/>
        <v>0</v>
      </c>
      <c r="H264" s="17"/>
      <c r="I264" s="17"/>
      <c r="J264" s="17"/>
    </row>
    <row r="265" spans="1:10" x14ac:dyDescent="0.25">
      <c r="A265" s="11"/>
      <c r="B265" s="17"/>
      <c r="C265" s="30"/>
      <c r="D265" s="17"/>
      <c r="E265" s="17"/>
      <c r="F265" s="25"/>
      <c r="G265" s="25">
        <f t="shared" ref="G265:G416" si="5">IF(B265="Saída", -ABS(F265), ABS(F265))</f>
        <v>0</v>
      </c>
      <c r="H265" s="17"/>
      <c r="I265" s="17"/>
      <c r="J265" s="17"/>
    </row>
    <row r="266" spans="1:10" x14ac:dyDescent="0.25">
      <c r="A266" s="11"/>
      <c r="B266" s="17"/>
      <c r="C266" s="30"/>
      <c r="D266" s="17"/>
      <c r="E266" s="17"/>
      <c r="F266" s="25"/>
      <c r="G266" s="25">
        <f t="shared" si="5"/>
        <v>0</v>
      </c>
      <c r="H266" s="17"/>
      <c r="I266" s="17"/>
      <c r="J266" s="17"/>
    </row>
    <row r="267" spans="1:10" x14ac:dyDescent="0.25">
      <c r="A267" s="11"/>
      <c r="B267" s="17"/>
      <c r="C267" s="30"/>
      <c r="D267" s="17"/>
      <c r="E267" s="17"/>
      <c r="F267" s="25"/>
      <c r="G267" s="25">
        <f t="shared" si="5"/>
        <v>0</v>
      </c>
      <c r="H267" s="17"/>
      <c r="I267" s="17"/>
      <c r="J267" s="17"/>
    </row>
    <row r="268" spans="1:10" x14ac:dyDescent="0.25">
      <c r="A268" s="11"/>
      <c r="B268" s="17"/>
      <c r="C268" s="30"/>
      <c r="D268" s="17"/>
      <c r="E268" s="17"/>
      <c r="F268" s="25"/>
      <c r="G268" s="25">
        <f t="shared" si="5"/>
        <v>0</v>
      </c>
      <c r="H268" s="17"/>
      <c r="I268" s="17"/>
      <c r="J268" s="17"/>
    </row>
    <row r="269" spans="1:10" x14ac:dyDescent="0.25">
      <c r="A269" s="11"/>
      <c r="B269" s="17"/>
      <c r="C269" s="30"/>
      <c r="D269" s="17"/>
      <c r="E269" s="17"/>
      <c r="F269" s="25"/>
      <c r="G269" s="25">
        <f t="shared" si="5"/>
        <v>0</v>
      </c>
      <c r="H269" s="17"/>
      <c r="I269" s="17"/>
      <c r="J269" s="17"/>
    </row>
    <row r="270" spans="1:10" x14ac:dyDescent="0.25">
      <c r="A270" s="11"/>
      <c r="B270" s="17"/>
      <c r="C270" s="30"/>
      <c r="D270" s="17"/>
      <c r="E270" s="17"/>
      <c r="F270" s="25"/>
      <c r="G270" s="25">
        <f t="shared" si="5"/>
        <v>0</v>
      </c>
      <c r="H270" s="17"/>
      <c r="I270" s="17"/>
      <c r="J270" s="17"/>
    </row>
    <row r="271" spans="1:10" x14ac:dyDescent="0.25">
      <c r="A271" s="11"/>
      <c r="B271" s="17"/>
      <c r="C271" s="30"/>
      <c r="D271" s="17"/>
      <c r="E271" s="17"/>
      <c r="F271" s="25"/>
      <c r="G271" s="25">
        <f t="shared" si="5"/>
        <v>0</v>
      </c>
      <c r="H271" s="17"/>
      <c r="I271" s="17"/>
      <c r="J271" s="17"/>
    </row>
    <row r="272" spans="1:10" x14ac:dyDescent="0.25">
      <c r="A272" s="11"/>
      <c r="B272" s="17"/>
      <c r="C272" s="30"/>
      <c r="D272" s="17"/>
      <c r="E272" s="17"/>
      <c r="F272" s="25"/>
      <c r="G272" s="25">
        <f t="shared" si="5"/>
        <v>0</v>
      </c>
      <c r="H272" s="17"/>
      <c r="I272" s="17"/>
      <c r="J272" s="17"/>
    </row>
    <row r="273" spans="1:10" x14ac:dyDescent="0.25">
      <c r="A273" s="11"/>
      <c r="B273" s="17"/>
      <c r="C273" s="30"/>
      <c r="D273" s="17"/>
      <c r="E273" s="17"/>
      <c r="F273" s="25"/>
      <c r="G273" s="25">
        <f t="shared" si="5"/>
        <v>0</v>
      </c>
      <c r="H273" s="17"/>
      <c r="I273" s="17"/>
      <c r="J273" s="17"/>
    </row>
    <row r="274" spans="1:10" x14ac:dyDescent="0.25">
      <c r="A274" s="11"/>
      <c r="B274" s="17"/>
      <c r="C274" s="30"/>
      <c r="D274" s="17"/>
      <c r="E274" s="17"/>
      <c r="F274" s="25"/>
      <c r="G274" s="25">
        <f t="shared" si="5"/>
        <v>0</v>
      </c>
      <c r="H274" s="17"/>
      <c r="I274" s="17"/>
      <c r="J274" s="17"/>
    </row>
    <row r="275" spans="1:10" x14ac:dyDescent="0.25">
      <c r="A275" s="11"/>
      <c r="B275" s="17"/>
      <c r="C275" s="30"/>
      <c r="D275" s="17"/>
      <c r="E275" s="17"/>
      <c r="F275" s="25"/>
      <c r="G275" s="25">
        <f t="shared" si="5"/>
        <v>0</v>
      </c>
      <c r="H275" s="17"/>
      <c r="I275" s="17"/>
      <c r="J275" s="17"/>
    </row>
    <row r="276" spans="1:10" x14ac:dyDescent="0.25">
      <c r="A276" s="11"/>
      <c r="B276" s="17"/>
      <c r="C276" s="30"/>
      <c r="D276" s="17"/>
      <c r="E276" s="17"/>
      <c r="F276" s="25"/>
      <c r="G276" s="25">
        <f t="shared" si="5"/>
        <v>0</v>
      </c>
      <c r="H276" s="17"/>
      <c r="I276" s="17"/>
      <c r="J276" s="17"/>
    </row>
    <row r="277" spans="1:10" x14ac:dyDescent="0.25">
      <c r="A277" s="11"/>
      <c r="B277" s="17"/>
      <c r="C277" s="30"/>
      <c r="D277" s="17"/>
      <c r="E277" s="17"/>
      <c r="F277" s="25"/>
      <c r="G277" s="25">
        <f t="shared" si="5"/>
        <v>0</v>
      </c>
      <c r="H277" s="17"/>
      <c r="I277" s="17"/>
      <c r="J277" s="17"/>
    </row>
    <row r="278" spans="1:10" x14ac:dyDescent="0.25">
      <c r="A278" s="11"/>
      <c r="B278" s="17"/>
      <c r="C278" s="30"/>
      <c r="D278" s="17"/>
      <c r="E278" s="17"/>
      <c r="F278" s="25"/>
      <c r="G278" s="25">
        <f t="shared" si="5"/>
        <v>0</v>
      </c>
      <c r="H278" s="17"/>
      <c r="I278" s="17"/>
      <c r="J278" s="17"/>
    </row>
    <row r="279" spans="1:10" x14ac:dyDescent="0.25">
      <c r="A279" s="11"/>
      <c r="B279" s="17"/>
      <c r="C279" s="30"/>
      <c r="D279" s="17"/>
      <c r="E279" s="17"/>
      <c r="F279" s="25"/>
      <c r="G279" s="25">
        <f t="shared" si="5"/>
        <v>0</v>
      </c>
      <c r="H279" s="17"/>
      <c r="I279" s="17"/>
      <c r="J279" s="17"/>
    </row>
    <row r="280" spans="1:10" x14ac:dyDescent="0.25">
      <c r="A280" s="11"/>
      <c r="B280" s="17"/>
      <c r="C280" s="30"/>
      <c r="D280" s="17"/>
      <c r="E280" s="17"/>
      <c r="F280" s="25"/>
      <c r="G280" s="25">
        <f t="shared" si="5"/>
        <v>0</v>
      </c>
      <c r="H280" s="17"/>
      <c r="I280" s="17"/>
      <c r="J280" s="17"/>
    </row>
    <row r="281" spans="1:10" x14ac:dyDescent="0.25">
      <c r="A281" s="11"/>
      <c r="B281" s="17"/>
      <c r="C281" s="30"/>
      <c r="D281" s="17"/>
      <c r="E281" s="17"/>
      <c r="F281" s="25"/>
      <c r="G281" s="25">
        <f t="shared" si="5"/>
        <v>0</v>
      </c>
      <c r="H281" s="17"/>
      <c r="I281" s="17"/>
      <c r="J281" s="17"/>
    </row>
    <row r="282" spans="1:10" x14ac:dyDescent="0.25">
      <c r="A282" s="11"/>
      <c r="B282" s="17"/>
      <c r="C282" s="30"/>
      <c r="D282" s="17"/>
      <c r="E282" s="17"/>
      <c r="F282" s="25"/>
      <c r="G282" s="25">
        <f t="shared" si="5"/>
        <v>0</v>
      </c>
      <c r="H282" s="17"/>
      <c r="I282" s="17"/>
      <c r="J282" s="17"/>
    </row>
    <row r="283" spans="1:10" x14ac:dyDescent="0.25">
      <c r="A283" s="11"/>
      <c r="B283" s="17"/>
      <c r="C283" s="30"/>
      <c r="D283" s="17"/>
      <c r="E283" s="17"/>
      <c r="F283" s="25"/>
      <c r="G283" s="25">
        <f t="shared" si="5"/>
        <v>0</v>
      </c>
      <c r="H283" s="17"/>
      <c r="I283" s="17"/>
      <c r="J283" s="17"/>
    </row>
    <row r="284" spans="1:10" x14ac:dyDescent="0.25">
      <c r="A284" s="11"/>
      <c r="B284" s="17"/>
      <c r="C284" s="30"/>
      <c r="D284" s="17"/>
      <c r="E284" s="17"/>
      <c r="F284" s="25"/>
      <c r="G284" s="25">
        <f t="shared" si="5"/>
        <v>0</v>
      </c>
      <c r="H284" s="17"/>
      <c r="I284" s="17"/>
      <c r="J284" s="17"/>
    </row>
    <row r="285" spans="1:10" x14ac:dyDescent="0.25">
      <c r="A285" s="11"/>
      <c r="B285" s="17"/>
      <c r="C285" s="30"/>
      <c r="D285" s="17"/>
      <c r="E285" s="17"/>
      <c r="F285" s="25"/>
      <c r="G285" s="25">
        <f t="shared" si="5"/>
        <v>0</v>
      </c>
      <c r="H285" s="17"/>
      <c r="I285" s="17"/>
      <c r="J285" s="17"/>
    </row>
    <row r="286" spans="1:10" x14ac:dyDescent="0.25">
      <c r="A286" s="11"/>
      <c r="B286" s="17"/>
      <c r="C286" s="30"/>
      <c r="D286" s="17"/>
      <c r="E286" s="17"/>
      <c r="F286" s="25"/>
      <c r="G286" s="25">
        <f t="shared" si="5"/>
        <v>0</v>
      </c>
      <c r="H286" s="17"/>
      <c r="I286" s="17"/>
      <c r="J286" s="17"/>
    </row>
    <row r="287" spans="1:10" x14ac:dyDescent="0.25">
      <c r="A287" s="11"/>
      <c r="B287" s="17"/>
      <c r="C287" s="30"/>
      <c r="D287" s="17"/>
      <c r="E287" s="17"/>
      <c r="F287" s="25"/>
      <c r="G287" s="25">
        <f t="shared" si="5"/>
        <v>0</v>
      </c>
      <c r="H287" s="17"/>
      <c r="I287" s="17"/>
      <c r="J287" s="17"/>
    </row>
    <row r="288" spans="1:10" x14ac:dyDescent="0.25">
      <c r="A288" s="11"/>
      <c r="B288" s="17"/>
      <c r="C288" s="30"/>
      <c r="D288" s="17"/>
      <c r="E288" s="17"/>
      <c r="F288" s="25"/>
      <c r="G288" s="25">
        <f t="shared" si="5"/>
        <v>0</v>
      </c>
      <c r="H288" s="17"/>
      <c r="I288" s="17"/>
      <c r="J288" s="17"/>
    </row>
    <row r="289" spans="1:10" x14ac:dyDescent="0.25">
      <c r="A289" s="11"/>
      <c r="B289" s="17"/>
      <c r="C289" s="30"/>
      <c r="D289" s="17"/>
      <c r="E289" s="17"/>
      <c r="F289" s="25"/>
      <c r="G289" s="25">
        <f t="shared" si="5"/>
        <v>0</v>
      </c>
      <c r="H289" s="17"/>
      <c r="I289" s="17"/>
      <c r="J289" s="17"/>
    </row>
    <row r="290" spans="1:10" x14ac:dyDescent="0.25">
      <c r="A290" s="11"/>
      <c r="B290" s="17"/>
      <c r="C290" s="30"/>
      <c r="D290" s="17"/>
      <c r="E290" s="17"/>
      <c r="F290" s="25"/>
      <c r="G290" s="25">
        <f t="shared" si="5"/>
        <v>0</v>
      </c>
      <c r="H290" s="17"/>
      <c r="I290" s="17"/>
      <c r="J290" s="17"/>
    </row>
    <row r="291" spans="1:10" x14ac:dyDescent="0.25">
      <c r="A291" s="11"/>
      <c r="B291" s="17"/>
      <c r="C291" s="30"/>
      <c r="D291" s="17"/>
      <c r="E291" s="17"/>
      <c r="F291" s="25"/>
      <c r="G291" s="25">
        <f t="shared" si="5"/>
        <v>0</v>
      </c>
      <c r="H291" s="17"/>
      <c r="I291" s="17"/>
      <c r="J291" s="17"/>
    </row>
    <row r="292" spans="1:10" x14ac:dyDescent="0.25">
      <c r="A292" s="11"/>
      <c r="B292" s="17"/>
      <c r="C292" s="30"/>
      <c r="D292" s="17"/>
      <c r="E292" s="17"/>
      <c r="F292" s="25"/>
      <c r="G292" s="25">
        <f t="shared" si="5"/>
        <v>0</v>
      </c>
      <c r="H292" s="17"/>
      <c r="I292" s="17"/>
      <c r="J292" s="17"/>
    </row>
    <row r="293" spans="1:10" x14ac:dyDescent="0.25">
      <c r="A293" s="11"/>
      <c r="B293" s="17"/>
      <c r="C293" s="30"/>
      <c r="D293" s="17"/>
      <c r="E293" s="17"/>
      <c r="F293" s="25"/>
      <c r="G293" s="25">
        <f t="shared" si="5"/>
        <v>0</v>
      </c>
      <c r="H293" s="17"/>
      <c r="I293" s="17"/>
      <c r="J293" s="17"/>
    </row>
    <row r="294" spans="1:10" x14ac:dyDescent="0.25">
      <c r="A294" s="11"/>
      <c r="B294" s="17"/>
      <c r="C294" s="30"/>
      <c r="D294" s="17"/>
      <c r="E294" s="17"/>
      <c r="F294" s="25"/>
      <c r="G294" s="25">
        <f t="shared" si="5"/>
        <v>0</v>
      </c>
      <c r="H294" s="17"/>
      <c r="I294" s="17"/>
      <c r="J294" s="17"/>
    </row>
    <row r="295" spans="1:10" x14ac:dyDescent="0.25">
      <c r="A295" s="11"/>
      <c r="B295" s="17"/>
      <c r="C295" s="30"/>
      <c r="D295" s="17"/>
      <c r="E295" s="17"/>
      <c r="F295" s="25"/>
      <c r="G295" s="25">
        <f t="shared" si="5"/>
        <v>0</v>
      </c>
      <c r="H295" s="17"/>
      <c r="I295" s="17"/>
      <c r="J295" s="17"/>
    </row>
    <row r="296" spans="1:10" x14ac:dyDescent="0.25">
      <c r="A296" s="11"/>
      <c r="B296" s="17"/>
      <c r="C296" s="30"/>
      <c r="D296" s="17"/>
      <c r="E296" s="17"/>
      <c r="F296" s="25"/>
      <c r="G296" s="25">
        <f t="shared" si="5"/>
        <v>0</v>
      </c>
      <c r="H296" s="17"/>
      <c r="I296" s="17"/>
      <c r="J296" s="17"/>
    </row>
    <row r="297" spans="1:10" x14ac:dyDescent="0.25">
      <c r="A297" s="11"/>
      <c r="B297" s="17"/>
      <c r="C297" s="30"/>
      <c r="D297" s="17"/>
      <c r="E297" s="17"/>
      <c r="F297" s="25"/>
      <c r="G297" s="25">
        <f t="shared" si="5"/>
        <v>0</v>
      </c>
      <c r="H297" s="17"/>
      <c r="I297" s="17"/>
      <c r="J297" s="17"/>
    </row>
    <row r="298" spans="1:10" x14ac:dyDescent="0.25">
      <c r="A298" s="11"/>
      <c r="B298" s="17"/>
      <c r="C298" s="30"/>
      <c r="D298" s="17"/>
      <c r="E298" s="17"/>
      <c r="F298" s="25"/>
      <c r="G298" s="25">
        <f t="shared" si="5"/>
        <v>0</v>
      </c>
      <c r="H298" s="17"/>
      <c r="I298" s="17"/>
      <c r="J298" s="17"/>
    </row>
    <row r="299" spans="1:10" x14ac:dyDescent="0.25">
      <c r="A299" s="11"/>
      <c r="B299" s="17"/>
      <c r="C299" s="30"/>
      <c r="D299" s="17"/>
      <c r="E299" s="17"/>
      <c r="F299" s="25"/>
      <c r="G299" s="25">
        <f t="shared" si="5"/>
        <v>0</v>
      </c>
      <c r="H299" s="17"/>
      <c r="I299" s="17"/>
      <c r="J299" s="17"/>
    </row>
    <row r="300" spans="1:10" x14ac:dyDescent="0.25">
      <c r="A300" s="11"/>
      <c r="B300" s="17"/>
      <c r="C300" s="30"/>
      <c r="D300" s="17"/>
      <c r="E300" s="17"/>
      <c r="F300" s="25"/>
      <c r="G300" s="25">
        <f t="shared" si="5"/>
        <v>0</v>
      </c>
      <c r="H300" s="17"/>
      <c r="I300" s="17"/>
      <c r="J300" s="17"/>
    </row>
    <row r="301" spans="1:10" x14ac:dyDescent="0.25">
      <c r="A301" s="11"/>
      <c r="B301" s="17"/>
      <c r="C301" s="30"/>
      <c r="D301" s="17"/>
      <c r="E301" s="17"/>
      <c r="F301" s="25"/>
      <c r="G301" s="25">
        <f t="shared" si="5"/>
        <v>0</v>
      </c>
      <c r="H301" s="17"/>
      <c r="I301" s="17"/>
      <c r="J301" s="17"/>
    </row>
    <row r="302" spans="1:10" x14ac:dyDescent="0.25">
      <c r="A302" s="11"/>
      <c r="B302" s="17"/>
      <c r="C302" s="30"/>
      <c r="D302" s="17"/>
      <c r="E302" s="17"/>
      <c r="F302" s="25"/>
      <c r="G302" s="25">
        <f t="shared" si="5"/>
        <v>0</v>
      </c>
      <c r="H302" s="17"/>
      <c r="I302" s="17"/>
      <c r="J302" s="17"/>
    </row>
    <row r="303" spans="1:10" x14ac:dyDescent="0.25">
      <c r="A303" s="11"/>
      <c r="B303" s="17"/>
      <c r="C303" s="30"/>
      <c r="D303" s="17"/>
      <c r="E303" s="17"/>
      <c r="F303" s="25"/>
      <c r="G303" s="25">
        <f t="shared" si="5"/>
        <v>0</v>
      </c>
      <c r="H303" s="17"/>
      <c r="I303" s="17"/>
      <c r="J303" s="17"/>
    </row>
    <row r="304" spans="1:10" x14ac:dyDescent="0.25">
      <c r="A304" s="11"/>
      <c r="B304" s="17"/>
      <c r="C304" s="30"/>
      <c r="D304" s="17"/>
      <c r="E304" s="17"/>
      <c r="F304" s="25"/>
      <c r="G304" s="25">
        <f t="shared" si="5"/>
        <v>0</v>
      </c>
      <c r="H304" s="17"/>
      <c r="I304" s="17"/>
      <c r="J304" s="17"/>
    </row>
    <row r="305" spans="1:10" x14ac:dyDescent="0.25">
      <c r="A305" s="11"/>
      <c r="B305" s="17"/>
      <c r="C305" s="30"/>
      <c r="D305" s="17"/>
      <c r="E305" s="17"/>
      <c r="F305" s="25"/>
      <c r="G305" s="25">
        <f t="shared" si="5"/>
        <v>0</v>
      </c>
      <c r="H305" s="17"/>
      <c r="I305" s="17"/>
      <c r="J305" s="17"/>
    </row>
    <row r="306" spans="1:10" x14ac:dyDescent="0.25">
      <c r="A306" s="11"/>
      <c r="B306" s="17"/>
      <c r="C306" s="30"/>
      <c r="D306" s="17"/>
      <c r="E306" s="17"/>
      <c r="F306" s="25"/>
      <c r="G306" s="25">
        <f t="shared" si="5"/>
        <v>0</v>
      </c>
      <c r="H306" s="17"/>
      <c r="I306" s="17"/>
      <c r="J306" s="17"/>
    </row>
    <row r="307" spans="1:10" x14ac:dyDescent="0.25">
      <c r="A307" s="11"/>
      <c r="B307" s="17"/>
      <c r="C307" s="30"/>
      <c r="D307" s="17"/>
      <c r="E307" s="17"/>
      <c r="F307" s="25"/>
      <c r="G307" s="25">
        <f t="shared" si="5"/>
        <v>0</v>
      </c>
      <c r="H307" s="17"/>
      <c r="I307" s="17"/>
      <c r="J307" s="17"/>
    </row>
    <row r="308" spans="1:10" x14ac:dyDescent="0.25">
      <c r="A308" s="11"/>
      <c r="B308" s="17"/>
      <c r="C308" s="30"/>
      <c r="D308" s="17"/>
      <c r="E308" s="17"/>
      <c r="F308" s="25"/>
      <c r="G308" s="25">
        <f t="shared" si="5"/>
        <v>0</v>
      </c>
      <c r="H308" s="17"/>
      <c r="I308" s="17"/>
      <c r="J308" s="17"/>
    </row>
    <row r="309" spans="1:10" x14ac:dyDescent="0.25">
      <c r="A309" s="11"/>
      <c r="B309" s="17"/>
      <c r="C309" s="30"/>
      <c r="D309" s="17"/>
      <c r="E309" s="17"/>
      <c r="F309" s="25"/>
      <c r="G309" s="25">
        <f t="shared" si="5"/>
        <v>0</v>
      </c>
      <c r="H309" s="17"/>
      <c r="I309" s="17"/>
      <c r="J309" s="17"/>
    </row>
    <row r="310" spans="1:10" x14ac:dyDescent="0.25">
      <c r="A310" s="11"/>
      <c r="B310" s="17"/>
      <c r="C310" s="30"/>
      <c r="D310" s="17"/>
      <c r="E310" s="17"/>
      <c r="F310" s="25"/>
      <c r="G310" s="25">
        <f t="shared" si="5"/>
        <v>0</v>
      </c>
      <c r="H310" s="17"/>
      <c r="I310" s="17"/>
      <c r="J310" s="17"/>
    </row>
    <row r="311" spans="1:10" x14ac:dyDescent="0.25">
      <c r="A311" s="11"/>
      <c r="B311" s="17"/>
      <c r="C311" s="30"/>
      <c r="D311" s="17"/>
      <c r="E311" s="17"/>
      <c r="F311" s="25"/>
      <c r="G311" s="25">
        <f t="shared" si="5"/>
        <v>0</v>
      </c>
      <c r="H311" s="17"/>
      <c r="I311" s="17"/>
      <c r="J311" s="17"/>
    </row>
    <row r="312" spans="1:10" x14ac:dyDescent="0.25">
      <c r="A312" s="11"/>
      <c r="B312" s="17"/>
      <c r="C312" s="30"/>
      <c r="D312" s="17"/>
      <c r="E312" s="17"/>
      <c r="F312" s="25"/>
      <c r="G312" s="25">
        <f t="shared" si="5"/>
        <v>0</v>
      </c>
      <c r="H312" s="17"/>
      <c r="I312" s="17"/>
      <c r="J312" s="17"/>
    </row>
    <row r="313" spans="1:10" x14ac:dyDescent="0.25">
      <c r="A313" s="11"/>
      <c r="B313" s="17"/>
      <c r="C313" s="30"/>
      <c r="D313" s="17"/>
      <c r="E313" s="17"/>
      <c r="F313" s="25"/>
      <c r="G313" s="25">
        <f t="shared" si="5"/>
        <v>0</v>
      </c>
      <c r="H313" s="17"/>
      <c r="I313" s="17"/>
      <c r="J313" s="17"/>
    </row>
    <row r="314" spans="1:10" x14ac:dyDescent="0.25">
      <c r="A314" s="11"/>
      <c r="B314" s="17"/>
      <c r="C314" s="30"/>
      <c r="D314" s="17"/>
      <c r="E314" s="17"/>
      <c r="F314" s="25"/>
      <c r="G314" s="25">
        <f t="shared" si="5"/>
        <v>0</v>
      </c>
      <c r="H314" s="17"/>
      <c r="I314" s="17"/>
      <c r="J314" s="17"/>
    </row>
    <row r="315" spans="1:10" x14ac:dyDescent="0.25">
      <c r="A315" s="11"/>
      <c r="B315" s="17"/>
      <c r="C315" s="30"/>
      <c r="D315" s="17"/>
      <c r="E315" s="17"/>
      <c r="F315" s="25"/>
      <c r="G315" s="25">
        <f t="shared" si="5"/>
        <v>0</v>
      </c>
      <c r="H315" s="17"/>
      <c r="I315" s="17"/>
      <c r="J315" s="17"/>
    </row>
    <row r="316" spans="1:10" x14ac:dyDescent="0.25">
      <c r="A316" s="11"/>
      <c r="B316" s="17"/>
      <c r="C316" s="30"/>
      <c r="D316" s="17"/>
      <c r="E316" s="17"/>
      <c r="F316" s="25"/>
      <c r="G316" s="25">
        <f t="shared" si="5"/>
        <v>0</v>
      </c>
      <c r="H316" s="17"/>
      <c r="I316" s="17"/>
      <c r="J316" s="17"/>
    </row>
    <row r="317" spans="1:10" x14ac:dyDescent="0.25">
      <c r="A317" s="11"/>
      <c r="B317" s="17"/>
      <c r="C317" s="30"/>
      <c r="D317" s="17"/>
      <c r="E317" s="17"/>
      <c r="F317" s="25"/>
      <c r="G317" s="25">
        <f t="shared" si="5"/>
        <v>0</v>
      </c>
      <c r="H317" s="17"/>
      <c r="I317" s="17"/>
      <c r="J317" s="17"/>
    </row>
    <row r="318" spans="1:10" x14ac:dyDescent="0.25">
      <c r="A318" s="11"/>
      <c r="B318" s="17"/>
      <c r="C318" s="30"/>
      <c r="D318" s="17"/>
      <c r="E318" s="17"/>
      <c r="F318" s="25"/>
      <c r="G318" s="25">
        <f t="shared" si="5"/>
        <v>0</v>
      </c>
      <c r="H318" s="17"/>
      <c r="I318" s="17"/>
      <c r="J318" s="17"/>
    </row>
    <row r="319" spans="1:10" x14ac:dyDescent="0.25">
      <c r="A319" s="11"/>
      <c r="B319" s="17"/>
      <c r="C319" s="30"/>
      <c r="D319" s="17"/>
      <c r="E319" s="17"/>
      <c r="F319" s="25"/>
      <c r="G319" s="25">
        <f t="shared" si="5"/>
        <v>0</v>
      </c>
      <c r="H319" s="17"/>
      <c r="I319" s="17"/>
      <c r="J319" s="17"/>
    </row>
    <row r="320" spans="1:10" x14ac:dyDescent="0.25">
      <c r="A320" s="11"/>
      <c r="B320" s="17"/>
      <c r="C320" s="30"/>
      <c r="D320" s="17"/>
      <c r="E320" s="17"/>
      <c r="F320" s="25"/>
      <c r="G320" s="25">
        <f t="shared" si="5"/>
        <v>0</v>
      </c>
      <c r="H320" s="17"/>
      <c r="I320" s="17"/>
      <c r="J320" s="17"/>
    </row>
    <row r="321" spans="1:10" x14ac:dyDescent="0.25">
      <c r="A321" s="11"/>
      <c r="B321" s="17"/>
      <c r="C321" s="30"/>
      <c r="D321" s="17"/>
      <c r="E321" s="17"/>
      <c r="F321" s="25"/>
      <c r="G321" s="25">
        <f t="shared" si="5"/>
        <v>0</v>
      </c>
      <c r="H321" s="17"/>
      <c r="I321" s="17"/>
      <c r="J321" s="17"/>
    </row>
    <row r="322" spans="1:10" x14ac:dyDescent="0.25">
      <c r="A322" s="11"/>
      <c r="B322" s="17"/>
      <c r="C322" s="30"/>
      <c r="D322" s="17"/>
      <c r="E322" s="17"/>
      <c r="F322" s="25"/>
      <c r="G322" s="25">
        <f t="shared" si="5"/>
        <v>0</v>
      </c>
      <c r="H322" s="17"/>
      <c r="I322" s="17"/>
      <c r="J322" s="17"/>
    </row>
    <row r="323" spans="1:10" x14ac:dyDescent="0.25">
      <c r="A323" s="11"/>
      <c r="B323" s="17"/>
      <c r="C323" s="30"/>
      <c r="D323" s="17"/>
      <c r="E323" s="17"/>
      <c r="F323" s="25"/>
      <c r="G323" s="25">
        <f t="shared" si="5"/>
        <v>0</v>
      </c>
      <c r="H323" s="17"/>
      <c r="I323" s="17"/>
      <c r="J323" s="17"/>
    </row>
    <row r="324" spans="1:10" x14ac:dyDescent="0.25">
      <c r="A324" s="11"/>
      <c r="B324" s="17"/>
      <c r="C324" s="30"/>
      <c r="D324" s="17"/>
      <c r="E324" s="17"/>
      <c r="F324" s="25"/>
      <c r="G324" s="25">
        <f t="shared" si="5"/>
        <v>0</v>
      </c>
      <c r="H324" s="17"/>
      <c r="I324" s="17"/>
      <c r="J324" s="17"/>
    </row>
    <row r="325" spans="1:10" x14ac:dyDescent="0.25">
      <c r="A325" s="11"/>
      <c r="B325" s="17"/>
      <c r="C325" s="30"/>
      <c r="D325" s="17"/>
      <c r="E325" s="17"/>
      <c r="F325" s="25"/>
      <c r="G325" s="25">
        <f t="shared" si="5"/>
        <v>0</v>
      </c>
      <c r="H325" s="17"/>
      <c r="I325" s="17"/>
      <c r="J325" s="17"/>
    </row>
    <row r="326" spans="1:10" x14ac:dyDescent="0.25">
      <c r="A326" s="11"/>
      <c r="B326" s="17"/>
      <c r="C326" s="30"/>
      <c r="D326" s="17"/>
      <c r="E326" s="17"/>
      <c r="F326" s="25"/>
      <c r="G326" s="25">
        <f t="shared" si="5"/>
        <v>0</v>
      </c>
      <c r="H326" s="17"/>
      <c r="I326" s="17"/>
      <c r="J326" s="17"/>
    </row>
    <row r="327" spans="1:10" x14ac:dyDescent="0.25">
      <c r="A327" s="11"/>
      <c r="B327" s="17"/>
      <c r="C327" s="30"/>
      <c r="D327" s="17"/>
      <c r="E327" s="17"/>
      <c r="F327" s="25"/>
      <c r="G327" s="25">
        <f t="shared" si="5"/>
        <v>0</v>
      </c>
      <c r="H327" s="17"/>
      <c r="I327" s="17"/>
      <c r="J327" s="17"/>
    </row>
    <row r="328" spans="1:10" x14ac:dyDescent="0.25">
      <c r="A328" s="11"/>
      <c r="B328" s="17"/>
      <c r="C328" s="30"/>
      <c r="D328" s="17"/>
      <c r="E328" s="17"/>
      <c r="F328" s="25"/>
      <c r="G328" s="25">
        <f t="shared" si="5"/>
        <v>0</v>
      </c>
      <c r="H328" s="17"/>
      <c r="I328" s="17"/>
      <c r="J328" s="17"/>
    </row>
    <row r="329" spans="1:10" x14ac:dyDescent="0.25">
      <c r="A329" s="11"/>
      <c r="B329" s="17"/>
      <c r="C329" s="30"/>
      <c r="D329" s="17"/>
      <c r="E329" s="17"/>
      <c r="F329" s="25"/>
      <c r="G329" s="25">
        <f t="shared" si="5"/>
        <v>0</v>
      </c>
      <c r="H329" s="17"/>
      <c r="I329" s="17"/>
      <c r="J329" s="17"/>
    </row>
    <row r="330" spans="1:10" x14ac:dyDescent="0.25">
      <c r="A330" s="11"/>
      <c r="B330" s="17"/>
      <c r="C330" s="30"/>
      <c r="D330" s="17"/>
      <c r="E330" s="17"/>
      <c r="F330" s="25"/>
      <c r="G330" s="25">
        <f t="shared" si="5"/>
        <v>0</v>
      </c>
      <c r="H330" s="17"/>
      <c r="I330" s="17"/>
      <c r="J330" s="17"/>
    </row>
    <row r="331" spans="1:10" x14ac:dyDescent="0.25">
      <c r="A331" s="11"/>
      <c r="B331" s="17"/>
      <c r="C331" s="30"/>
      <c r="D331" s="17"/>
      <c r="E331" s="17"/>
      <c r="F331" s="25"/>
      <c r="G331" s="25">
        <f t="shared" si="5"/>
        <v>0</v>
      </c>
      <c r="H331" s="17"/>
      <c r="I331" s="17"/>
      <c r="J331" s="17"/>
    </row>
    <row r="332" spans="1:10" x14ac:dyDescent="0.25">
      <c r="A332" s="11"/>
      <c r="B332" s="17"/>
      <c r="C332" s="30"/>
      <c r="D332" s="17"/>
      <c r="E332" s="17"/>
      <c r="F332" s="25"/>
      <c r="G332" s="25">
        <f t="shared" si="5"/>
        <v>0</v>
      </c>
      <c r="H332" s="17"/>
      <c r="I332" s="17"/>
      <c r="J332" s="17"/>
    </row>
    <row r="333" spans="1:10" x14ac:dyDescent="0.25">
      <c r="A333" s="11"/>
      <c r="B333" s="17"/>
      <c r="C333" s="30"/>
      <c r="D333" s="17"/>
      <c r="E333" s="17"/>
      <c r="F333" s="25"/>
      <c r="G333" s="25">
        <f t="shared" si="5"/>
        <v>0</v>
      </c>
      <c r="H333" s="17"/>
      <c r="I333" s="17"/>
      <c r="J333" s="17"/>
    </row>
    <row r="334" spans="1:10" x14ac:dyDescent="0.25">
      <c r="A334" s="11"/>
      <c r="B334" s="17"/>
      <c r="C334" s="30"/>
      <c r="D334" s="17"/>
      <c r="E334" s="17"/>
      <c r="F334" s="25"/>
      <c r="G334" s="25">
        <f t="shared" si="5"/>
        <v>0</v>
      </c>
      <c r="H334" s="17"/>
      <c r="I334" s="17"/>
      <c r="J334" s="17"/>
    </row>
    <row r="335" spans="1:10" x14ac:dyDescent="0.25">
      <c r="A335" s="11"/>
      <c r="B335" s="17"/>
      <c r="C335" s="30"/>
      <c r="D335" s="17"/>
      <c r="E335" s="17"/>
      <c r="F335" s="25"/>
      <c r="G335" s="25">
        <f t="shared" si="5"/>
        <v>0</v>
      </c>
      <c r="H335" s="17"/>
      <c r="I335" s="17"/>
      <c r="J335" s="17"/>
    </row>
    <row r="336" spans="1:10" x14ac:dyDescent="0.25">
      <c r="A336" s="11"/>
      <c r="B336" s="17"/>
      <c r="C336" s="30"/>
      <c r="D336" s="17"/>
      <c r="E336" s="17"/>
      <c r="F336" s="25"/>
      <c r="G336" s="25">
        <f t="shared" si="5"/>
        <v>0</v>
      </c>
      <c r="H336" s="17"/>
      <c r="I336" s="17"/>
      <c r="J336" s="17"/>
    </row>
    <row r="337" spans="1:10" x14ac:dyDescent="0.25">
      <c r="A337" s="11"/>
      <c r="B337" s="17"/>
      <c r="C337" s="30"/>
      <c r="D337" s="17"/>
      <c r="E337" s="17"/>
      <c r="F337" s="25"/>
      <c r="G337" s="25">
        <f t="shared" si="5"/>
        <v>0</v>
      </c>
      <c r="H337" s="17"/>
      <c r="I337" s="17"/>
      <c r="J337" s="17"/>
    </row>
    <row r="338" spans="1:10" x14ac:dyDescent="0.25">
      <c r="A338" s="11"/>
      <c r="B338" s="17"/>
      <c r="C338" s="30"/>
      <c r="D338" s="17"/>
      <c r="E338" s="17"/>
      <c r="F338" s="25"/>
      <c r="G338" s="25">
        <f t="shared" si="5"/>
        <v>0</v>
      </c>
      <c r="H338" s="17"/>
      <c r="I338" s="17"/>
      <c r="J338" s="17"/>
    </row>
    <row r="339" spans="1:10" x14ac:dyDescent="0.25">
      <c r="A339" s="11"/>
      <c r="B339" s="17"/>
      <c r="C339" s="30"/>
      <c r="D339" s="17"/>
      <c r="E339" s="17"/>
      <c r="F339" s="25"/>
      <c r="G339" s="25">
        <f t="shared" si="5"/>
        <v>0</v>
      </c>
      <c r="H339" s="17"/>
      <c r="I339" s="17"/>
      <c r="J339" s="17"/>
    </row>
    <row r="340" spans="1:10" x14ac:dyDescent="0.25">
      <c r="A340" s="11"/>
      <c r="B340" s="17"/>
      <c r="C340" s="30"/>
      <c r="D340" s="17"/>
      <c r="E340" s="17"/>
      <c r="F340" s="25"/>
      <c r="G340" s="25">
        <f t="shared" si="5"/>
        <v>0</v>
      </c>
      <c r="H340" s="17"/>
      <c r="I340" s="17"/>
      <c r="J340" s="17"/>
    </row>
    <row r="341" spans="1:10" x14ac:dyDescent="0.25">
      <c r="A341" s="11"/>
      <c r="B341" s="17"/>
      <c r="C341" s="30"/>
      <c r="D341" s="17"/>
      <c r="E341" s="17"/>
      <c r="F341" s="25"/>
      <c r="G341" s="25">
        <f t="shared" si="5"/>
        <v>0</v>
      </c>
      <c r="H341" s="17"/>
      <c r="I341" s="17"/>
      <c r="J341" s="17"/>
    </row>
    <row r="342" spans="1:10" x14ac:dyDescent="0.25">
      <c r="A342" s="11"/>
      <c r="B342" s="17"/>
      <c r="C342" s="30"/>
      <c r="D342" s="17"/>
      <c r="E342" s="17"/>
      <c r="F342" s="25"/>
      <c r="G342" s="25">
        <f t="shared" si="5"/>
        <v>0</v>
      </c>
      <c r="H342" s="17"/>
      <c r="I342" s="17"/>
      <c r="J342" s="17"/>
    </row>
    <row r="343" spans="1:10" x14ac:dyDescent="0.25">
      <c r="A343" s="11"/>
      <c r="B343" s="17"/>
      <c r="C343" s="30"/>
      <c r="D343" s="17"/>
      <c r="E343" s="17"/>
      <c r="F343" s="25"/>
      <c r="G343" s="25">
        <f t="shared" si="5"/>
        <v>0</v>
      </c>
      <c r="H343" s="17"/>
      <c r="I343" s="17"/>
      <c r="J343" s="17"/>
    </row>
    <row r="344" spans="1:10" x14ac:dyDescent="0.25">
      <c r="A344" s="11"/>
      <c r="B344" s="17"/>
      <c r="C344" s="30"/>
      <c r="D344" s="17"/>
      <c r="E344" s="17"/>
      <c r="F344" s="25"/>
      <c r="G344" s="25">
        <f t="shared" si="5"/>
        <v>0</v>
      </c>
      <c r="H344" s="17"/>
      <c r="I344" s="17"/>
      <c r="J344" s="17"/>
    </row>
    <row r="345" spans="1:10" x14ac:dyDescent="0.25">
      <c r="A345" s="11"/>
      <c r="B345" s="17"/>
      <c r="C345" s="30"/>
      <c r="D345" s="17"/>
      <c r="E345" s="17"/>
      <c r="F345" s="25"/>
      <c r="G345" s="25">
        <f t="shared" si="5"/>
        <v>0</v>
      </c>
      <c r="H345" s="17"/>
      <c r="I345" s="17"/>
      <c r="J345" s="17"/>
    </row>
    <row r="346" spans="1:10" x14ac:dyDescent="0.25">
      <c r="A346" s="11"/>
      <c r="B346" s="17"/>
      <c r="C346" s="30"/>
      <c r="D346" s="17"/>
      <c r="E346" s="17"/>
      <c r="F346" s="25"/>
      <c r="G346" s="25">
        <f t="shared" si="5"/>
        <v>0</v>
      </c>
      <c r="H346" s="17"/>
      <c r="I346" s="17"/>
      <c r="J346" s="17"/>
    </row>
    <row r="347" spans="1:10" x14ac:dyDescent="0.25">
      <c r="A347" s="11"/>
      <c r="B347" s="17"/>
      <c r="C347" s="30"/>
      <c r="D347" s="17"/>
      <c r="E347" s="17"/>
      <c r="F347" s="25"/>
      <c r="G347" s="25">
        <f t="shared" si="5"/>
        <v>0</v>
      </c>
      <c r="H347" s="17"/>
      <c r="I347" s="17"/>
      <c r="J347" s="17"/>
    </row>
    <row r="348" spans="1:10" x14ac:dyDescent="0.25">
      <c r="A348" s="11"/>
      <c r="B348" s="17"/>
      <c r="C348" s="30"/>
      <c r="D348" s="17"/>
      <c r="E348" s="17"/>
      <c r="F348" s="25"/>
      <c r="G348" s="25">
        <f t="shared" si="5"/>
        <v>0</v>
      </c>
      <c r="H348" s="17"/>
      <c r="I348" s="17"/>
      <c r="J348" s="17"/>
    </row>
    <row r="349" spans="1:10" x14ac:dyDescent="0.25">
      <c r="A349" s="11"/>
      <c r="B349" s="17"/>
      <c r="C349" s="30"/>
      <c r="D349" s="17"/>
      <c r="E349" s="17"/>
      <c r="F349" s="25"/>
      <c r="G349" s="25">
        <f t="shared" si="5"/>
        <v>0</v>
      </c>
      <c r="H349" s="17"/>
      <c r="I349" s="17"/>
      <c r="J349" s="17"/>
    </row>
    <row r="350" spans="1:10" x14ac:dyDescent="0.25">
      <c r="A350" s="11"/>
      <c r="B350" s="17"/>
      <c r="C350" s="30"/>
      <c r="D350" s="17"/>
      <c r="E350" s="17"/>
      <c r="F350" s="25"/>
      <c r="G350" s="25">
        <f t="shared" si="5"/>
        <v>0</v>
      </c>
      <c r="H350" s="17"/>
      <c r="I350" s="17"/>
      <c r="J350" s="17"/>
    </row>
    <row r="351" spans="1:10" x14ac:dyDescent="0.25">
      <c r="A351" s="11"/>
      <c r="B351" s="17"/>
      <c r="C351" s="30"/>
      <c r="D351" s="17"/>
      <c r="E351" s="17"/>
      <c r="F351" s="25"/>
      <c r="G351" s="25">
        <f t="shared" si="5"/>
        <v>0</v>
      </c>
      <c r="H351" s="17"/>
      <c r="I351" s="17"/>
      <c r="J351" s="17"/>
    </row>
    <row r="352" spans="1:10" x14ac:dyDescent="0.25">
      <c r="A352" s="11"/>
      <c r="B352" s="17"/>
      <c r="C352" s="30"/>
      <c r="D352" s="17"/>
      <c r="E352" s="17"/>
      <c r="F352" s="25"/>
      <c r="G352" s="25">
        <f t="shared" si="5"/>
        <v>0</v>
      </c>
      <c r="H352" s="17"/>
      <c r="I352" s="17"/>
      <c r="J352" s="17"/>
    </row>
    <row r="353" spans="1:10" x14ac:dyDescent="0.25">
      <c r="A353" s="11"/>
      <c r="B353" s="17"/>
      <c r="C353" s="30"/>
      <c r="D353" s="17"/>
      <c r="E353" s="17"/>
      <c r="F353" s="25"/>
      <c r="G353" s="25">
        <f t="shared" si="5"/>
        <v>0</v>
      </c>
      <c r="H353" s="17"/>
      <c r="I353" s="17"/>
      <c r="J353" s="17"/>
    </row>
    <row r="354" spans="1:10" x14ac:dyDescent="0.25">
      <c r="A354" s="11"/>
      <c r="B354" s="17"/>
      <c r="C354" s="30"/>
      <c r="D354" s="17"/>
      <c r="E354" s="17"/>
      <c r="F354" s="25"/>
      <c r="G354" s="25">
        <f t="shared" si="5"/>
        <v>0</v>
      </c>
      <c r="H354" s="17"/>
      <c r="I354" s="17"/>
      <c r="J354" s="17"/>
    </row>
    <row r="355" spans="1:10" x14ac:dyDescent="0.25">
      <c r="A355" s="11"/>
      <c r="B355" s="17"/>
      <c r="C355" s="30"/>
      <c r="D355" s="17"/>
      <c r="E355" s="17"/>
      <c r="F355" s="25"/>
      <c r="G355" s="25">
        <f t="shared" si="5"/>
        <v>0</v>
      </c>
      <c r="H355" s="17"/>
      <c r="I355" s="17"/>
      <c r="J355" s="17"/>
    </row>
    <row r="356" spans="1:10" x14ac:dyDescent="0.25">
      <c r="A356" s="11"/>
      <c r="B356" s="17"/>
      <c r="C356" s="30"/>
      <c r="D356" s="17"/>
      <c r="E356" s="17"/>
      <c r="F356" s="25"/>
      <c r="G356" s="25">
        <f t="shared" si="5"/>
        <v>0</v>
      </c>
      <c r="H356" s="17"/>
      <c r="I356" s="17"/>
      <c r="J356" s="17"/>
    </row>
    <row r="357" spans="1:10" x14ac:dyDescent="0.25">
      <c r="A357" s="11"/>
      <c r="B357" s="17"/>
      <c r="C357" s="30"/>
      <c r="D357" s="17"/>
      <c r="E357" s="17"/>
      <c r="F357" s="25"/>
      <c r="G357" s="25">
        <f t="shared" si="5"/>
        <v>0</v>
      </c>
      <c r="H357" s="17"/>
      <c r="I357" s="17"/>
      <c r="J357" s="17"/>
    </row>
    <row r="358" spans="1:10" x14ac:dyDescent="0.25">
      <c r="A358" s="11"/>
      <c r="B358" s="17"/>
      <c r="C358" s="30"/>
      <c r="D358" s="17"/>
      <c r="E358" s="17"/>
      <c r="F358" s="25"/>
      <c r="G358" s="25">
        <f t="shared" si="5"/>
        <v>0</v>
      </c>
      <c r="H358" s="17"/>
      <c r="I358" s="17"/>
      <c r="J358" s="17"/>
    </row>
    <row r="359" spans="1:10" x14ac:dyDescent="0.25">
      <c r="A359" s="11"/>
      <c r="B359" s="17"/>
      <c r="C359" s="30"/>
      <c r="D359" s="17"/>
      <c r="E359" s="17"/>
      <c r="F359" s="25"/>
      <c r="G359" s="25">
        <f t="shared" si="5"/>
        <v>0</v>
      </c>
      <c r="H359" s="17"/>
      <c r="I359" s="17"/>
      <c r="J359" s="17"/>
    </row>
    <row r="360" spans="1:10" x14ac:dyDescent="0.25">
      <c r="A360" s="11"/>
      <c r="B360" s="17"/>
      <c r="C360" s="30"/>
      <c r="D360" s="17"/>
      <c r="E360" s="17"/>
      <c r="F360" s="25"/>
      <c r="G360" s="25">
        <f t="shared" si="5"/>
        <v>0</v>
      </c>
      <c r="H360" s="17"/>
      <c r="I360" s="17"/>
      <c r="J360" s="17"/>
    </row>
    <row r="361" spans="1:10" x14ac:dyDescent="0.25">
      <c r="A361" s="11"/>
      <c r="B361" s="17"/>
      <c r="C361" s="30"/>
      <c r="D361" s="17"/>
      <c r="E361" s="17"/>
      <c r="F361" s="25"/>
      <c r="G361" s="25">
        <f t="shared" si="5"/>
        <v>0</v>
      </c>
      <c r="H361" s="17"/>
      <c r="I361" s="17"/>
      <c r="J361" s="17"/>
    </row>
    <row r="362" spans="1:10" x14ac:dyDescent="0.25">
      <c r="A362" s="11"/>
      <c r="B362" s="17"/>
      <c r="C362" s="30"/>
      <c r="D362" s="17"/>
      <c r="E362" s="17"/>
      <c r="F362" s="25"/>
      <c r="G362" s="25">
        <f t="shared" si="5"/>
        <v>0</v>
      </c>
      <c r="H362" s="17"/>
      <c r="I362" s="17"/>
      <c r="J362" s="17"/>
    </row>
    <row r="363" spans="1:10" x14ac:dyDescent="0.25">
      <c r="A363" s="11"/>
      <c r="B363" s="17"/>
      <c r="C363" s="30"/>
      <c r="D363" s="17"/>
      <c r="E363" s="17"/>
      <c r="F363" s="25"/>
      <c r="G363" s="25">
        <f t="shared" si="5"/>
        <v>0</v>
      </c>
      <c r="H363" s="17"/>
      <c r="I363" s="17"/>
      <c r="J363" s="17"/>
    </row>
    <row r="364" spans="1:10" x14ac:dyDescent="0.25">
      <c r="A364" s="11"/>
      <c r="B364" s="17"/>
      <c r="C364" s="30"/>
      <c r="D364" s="17"/>
      <c r="E364" s="17"/>
      <c r="F364" s="25"/>
      <c r="G364" s="25">
        <f t="shared" si="5"/>
        <v>0</v>
      </c>
      <c r="H364" s="17"/>
      <c r="I364" s="17"/>
      <c r="J364" s="17"/>
    </row>
    <row r="365" spans="1:10" x14ac:dyDescent="0.25">
      <c r="A365" s="11"/>
      <c r="B365" s="17"/>
      <c r="C365" s="30"/>
      <c r="D365" s="17"/>
      <c r="E365" s="17"/>
      <c r="F365" s="25"/>
      <c r="G365" s="25">
        <f t="shared" si="5"/>
        <v>0</v>
      </c>
      <c r="H365" s="17"/>
      <c r="I365" s="17"/>
      <c r="J365" s="17"/>
    </row>
    <row r="366" spans="1:10" x14ac:dyDescent="0.25">
      <c r="A366" s="11"/>
      <c r="B366" s="17"/>
      <c r="C366" s="30"/>
      <c r="D366" s="17"/>
      <c r="E366" s="17"/>
      <c r="F366" s="25"/>
      <c r="G366" s="25">
        <f t="shared" si="5"/>
        <v>0</v>
      </c>
      <c r="H366" s="17"/>
      <c r="I366" s="17"/>
      <c r="J366" s="17"/>
    </row>
    <row r="367" spans="1:10" x14ac:dyDescent="0.25">
      <c r="A367" s="11"/>
      <c r="B367" s="17"/>
      <c r="C367" s="30"/>
      <c r="D367" s="17"/>
      <c r="E367" s="17"/>
      <c r="F367" s="25"/>
      <c r="G367" s="25">
        <f t="shared" si="5"/>
        <v>0</v>
      </c>
      <c r="H367" s="17"/>
      <c r="I367" s="17"/>
      <c r="J367" s="17"/>
    </row>
    <row r="368" spans="1:10" x14ac:dyDescent="0.25">
      <c r="A368" s="11"/>
      <c r="B368" s="17"/>
      <c r="C368" s="30"/>
      <c r="D368" s="17"/>
      <c r="E368" s="17"/>
      <c r="F368" s="25"/>
      <c r="G368" s="25">
        <f t="shared" si="5"/>
        <v>0</v>
      </c>
      <c r="H368" s="17"/>
      <c r="I368" s="17"/>
      <c r="J368" s="17"/>
    </row>
    <row r="369" spans="1:10" x14ac:dyDescent="0.25">
      <c r="A369" s="11"/>
      <c r="B369" s="17"/>
      <c r="C369" s="30"/>
      <c r="D369" s="17"/>
      <c r="E369" s="17"/>
      <c r="F369" s="25"/>
      <c r="G369" s="25">
        <f t="shared" si="5"/>
        <v>0</v>
      </c>
      <c r="H369" s="17"/>
      <c r="I369" s="17"/>
      <c r="J369" s="17"/>
    </row>
    <row r="370" spans="1:10" x14ac:dyDescent="0.25">
      <c r="A370" s="11"/>
      <c r="B370" s="17"/>
      <c r="C370" s="30"/>
      <c r="D370" s="17"/>
      <c r="E370" s="17"/>
      <c r="F370" s="25"/>
      <c r="G370" s="25">
        <f t="shared" si="5"/>
        <v>0</v>
      </c>
      <c r="H370" s="17"/>
      <c r="I370" s="17"/>
      <c r="J370" s="17"/>
    </row>
    <row r="371" spans="1:10" x14ac:dyDescent="0.25">
      <c r="A371" s="11"/>
      <c r="B371" s="17"/>
      <c r="C371" s="30"/>
      <c r="D371" s="17"/>
      <c r="E371" s="17"/>
      <c r="F371" s="25"/>
      <c r="G371" s="25">
        <f t="shared" si="5"/>
        <v>0</v>
      </c>
      <c r="H371" s="17"/>
      <c r="I371" s="17"/>
      <c r="J371" s="17"/>
    </row>
    <row r="372" spans="1:10" x14ac:dyDescent="0.25">
      <c r="A372" s="11"/>
      <c r="B372" s="17"/>
      <c r="C372" s="30"/>
      <c r="D372" s="17"/>
      <c r="E372" s="17"/>
      <c r="F372" s="25"/>
      <c r="G372" s="25">
        <f t="shared" si="5"/>
        <v>0</v>
      </c>
      <c r="H372" s="17"/>
      <c r="I372" s="17"/>
      <c r="J372" s="17"/>
    </row>
    <row r="373" spans="1:10" x14ac:dyDescent="0.25">
      <c r="A373" s="11"/>
      <c r="B373" s="17"/>
      <c r="C373" s="30"/>
      <c r="D373" s="17"/>
      <c r="E373" s="17"/>
      <c r="F373" s="25"/>
      <c r="G373" s="25">
        <f t="shared" si="5"/>
        <v>0</v>
      </c>
      <c r="H373" s="17"/>
      <c r="I373" s="17"/>
      <c r="J373" s="17"/>
    </row>
    <row r="374" spans="1:10" x14ac:dyDescent="0.25">
      <c r="A374" s="11"/>
      <c r="B374" s="17"/>
      <c r="C374" s="30"/>
      <c r="D374" s="17"/>
      <c r="E374" s="17"/>
      <c r="F374" s="25"/>
      <c r="G374" s="25">
        <f t="shared" si="5"/>
        <v>0</v>
      </c>
      <c r="H374" s="17"/>
      <c r="I374" s="17"/>
      <c r="J374" s="17"/>
    </row>
    <row r="375" spans="1:10" x14ac:dyDescent="0.25">
      <c r="A375" s="11"/>
      <c r="B375" s="17"/>
      <c r="C375" s="30"/>
      <c r="D375" s="17"/>
      <c r="E375" s="17"/>
      <c r="F375" s="25"/>
      <c r="G375" s="25">
        <f t="shared" si="5"/>
        <v>0</v>
      </c>
      <c r="H375" s="17"/>
      <c r="I375" s="17"/>
      <c r="J375" s="17"/>
    </row>
    <row r="376" spans="1:10" x14ac:dyDescent="0.25">
      <c r="A376" s="11"/>
      <c r="B376" s="17"/>
      <c r="C376" s="30"/>
      <c r="D376" s="17"/>
      <c r="E376" s="17"/>
      <c r="F376" s="25"/>
      <c r="G376" s="25">
        <f t="shared" si="5"/>
        <v>0</v>
      </c>
      <c r="H376" s="17"/>
      <c r="I376" s="17"/>
      <c r="J376" s="17"/>
    </row>
    <row r="377" spans="1:10" x14ac:dyDescent="0.25">
      <c r="A377" s="11"/>
      <c r="B377" s="17"/>
      <c r="C377" s="30"/>
      <c r="D377" s="17"/>
      <c r="E377" s="17"/>
      <c r="F377" s="25"/>
      <c r="G377" s="25">
        <f t="shared" si="5"/>
        <v>0</v>
      </c>
      <c r="H377" s="17"/>
      <c r="I377" s="17"/>
      <c r="J377" s="17"/>
    </row>
    <row r="378" spans="1:10" x14ac:dyDescent="0.25">
      <c r="A378" s="11"/>
      <c r="B378" s="17"/>
      <c r="C378" s="30"/>
      <c r="D378" s="17"/>
      <c r="E378" s="17"/>
      <c r="F378" s="25"/>
      <c r="G378" s="25">
        <f t="shared" si="5"/>
        <v>0</v>
      </c>
      <c r="H378" s="17"/>
      <c r="I378" s="17"/>
      <c r="J378" s="17"/>
    </row>
    <row r="379" spans="1:10" x14ac:dyDescent="0.25">
      <c r="A379" s="11"/>
      <c r="B379" s="17"/>
      <c r="C379" s="30"/>
      <c r="D379" s="17"/>
      <c r="E379" s="17"/>
      <c r="F379" s="25"/>
      <c r="G379" s="25">
        <f t="shared" si="5"/>
        <v>0</v>
      </c>
      <c r="H379" s="17"/>
      <c r="I379" s="17"/>
      <c r="J379" s="17"/>
    </row>
    <row r="380" spans="1:10" x14ac:dyDescent="0.25">
      <c r="A380" s="11"/>
      <c r="B380" s="17"/>
      <c r="C380" s="30"/>
      <c r="D380" s="17"/>
      <c r="E380" s="17"/>
      <c r="F380" s="25"/>
      <c r="G380" s="25">
        <f t="shared" si="5"/>
        <v>0</v>
      </c>
      <c r="H380" s="17"/>
      <c r="I380" s="17"/>
      <c r="J380" s="17"/>
    </row>
    <row r="381" spans="1:10" x14ac:dyDescent="0.25">
      <c r="A381" s="11"/>
      <c r="B381" s="17"/>
      <c r="C381" s="30"/>
      <c r="D381" s="17"/>
      <c r="E381" s="17"/>
      <c r="F381" s="25"/>
      <c r="G381" s="25">
        <f t="shared" si="5"/>
        <v>0</v>
      </c>
      <c r="H381" s="17"/>
      <c r="I381" s="17"/>
      <c r="J381" s="17"/>
    </row>
    <row r="382" spans="1:10" x14ac:dyDescent="0.25">
      <c r="A382" s="11"/>
      <c r="B382" s="17"/>
      <c r="C382" s="30"/>
      <c r="D382" s="17"/>
      <c r="E382" s="17"/>
      <c r="F382" s="25"/>
      <c r="G382" s="25">
        <f t="shared" si="5"/>
        <v>0</v>
      </c>
      <c r="H382" s="17"/>
      <c r="I382" s="17"/>
      <c r="J382" s="17"/>
    </row>
    <row r="383" spans="1:10" x14ac:dyDescent="0.25">
      <c r="A383" s="11"/>
      <c r="B383" s="17"/>
      <c r="C383" s="30"/>
      <c r="D383" s="17"/>
      <c r="E383" s="17"/>
      <c r="F383" s="25"/>
      <c r="G383" s="25">
        <f t="shared" si="5"/>
        <v>0</v>
      </c>
      <c r="H383" s="17"/>
      <c r="I383" s="17"/>
      <c r="J383" s="17"/>
    </row>
    <row r="384" spans="1:10" x14ac:dyDescent="0.25">
      <c r="A384" s="11"/>
      <c r="B384" s="17"/>
      <c r="C384" s="30"/>
      <c r="D384" s="17"/>
      <c r="E384" s="17"/>
      <c r="F384" s="25"/>
      <c r="G384" s="25">
        <f t="shared" si="5"/>
        <v>0</v>
      </c>
      <c r="H384" s="17"/>
      <c r="I384" s="17"/>
      <c r="J384" s="17"/>
    </row>
    <row r="385" spans="1:10" x14ac:dyDescent="0.25">
      <c r="A385" s="11"/>
      <c r="B385" s="17"/>
      <c r="C385" s="30"/>
      <c r="D385" s="17"/>
      <c r="E385" s="17"/>
      <c r="F385" s="25"/>
      <c r="G385" s="25">
        <f t="shared" si="5"/>
        <v>0</v>
      </c>
      <c r="H385" s="17"/>
      <c r="I385" s="17"/>
      <c r="J385" s="17"/>
    </row>
    <row r="386" spans="1:10" x14ac:dyDescent="0.25">
      <c r="A386" s="11"/>
      <c r="B386" s="17"/>
      <c r="C386" s="30"/>
      <c r="D386" s="17"/>
      <c r="E386" s="17"/>
      <c r="F386" s="25"/>
      <c r="G386" s="25">
        <f t="shared" si="5"/>
        <v>0</v>
      </c>
      <c r="H386" s="17"/>
      <c r="I386" s="17"/>
      <c r="J386" s="17"/>
    </row>
    <row r="387" spans="1:10" x14ac:dyDescent="0.25">
      <c r="A387" s="11"/>
      <c r="B387" s="17"/>
      <c r="C387" s="30"/>
      <c r="D387" s="17"/>
      <c r="E387" s="17"/>
      <c r="F387" s="25"/>
      <c r="G387" s="25">
        <f t="shared" si="5"/>
        <v>0</v>
      </c>
      <c r="H387" s="17"/>
      <c r="I387" s="17"/>
      <c r="J387" s="17"/>
    </row>
    <row r="388" spans="1:10" x14ac:dyDescent="0.25">
      <c r="A388" s="11"/>
      <c r="B388" s="17"/>
      <c r="C388" s="30"/>
      <c r="D388" s="17"/>
      <c r="E388" s="17"/>
      <c r="F388" s="25"/>
      <c r="G388" s="25">
        <f t="shared" si="5"/>
        <v>0</v>
      </c>
      <c r="H388" s="17"/>
      <c r="I388" s="17"/>
      <c r="J388" s="17"/>
    </row>
    <row r="389" spans="1:10" x14ac:dyDescent="0.25">
      <c r="A389" s="11"/>
      <c r="B389" s="17"/>
      <c r="C389" s="30"/>
      <c r="D389" s="17"/>
      <c r="E389" s="17"/>
      <c r="F389" s="25"/>
      <c r="G389" s="25">
        <f t="shared" si="5"/>
        <v>0</v>
      </c>
      <c r="H389" s="17"/>
      <c r="I389" s="17"/>
      <c r="J389" s="17"/>
    </row>
    <row r="390" spans="1:10" x14ac:dyDescent="0.25">
      <c r="A390" s="11"/>
      <c r="B390" s="17"/>
      <c r="C390" s="30"/>
      <c r="D390" s="17"/>
      <c r="E390" s="17"/>
      <c r="F390" s="25"/>
      <c r="G390" s="25">
        <f t="shared" si="5"/>
        <v>0</v>
      </c>
      <c r="H390" s="17"/>
      <c r="I390" s="17"/>
      <c r="J390" s="17"/>
    </row>
    <row r="391" spans="1:10" x14ac:dyDescent="0.25">
      <c r="A391" s="11"/>
      <c r="B391" s="17"/>
      <c r="C391" s="30"/>
      <c r="D391" s="17"/>
      <c r="E391" s="17"/>
      <c r="F391" s="25"/>
      <c r="G391" s="25">
        <f t="shared" si="5"/>
        <v>0</v>
      </c>
      <c r="H391" s="17"/>
      <c r="I391" s="17"/>
      <c r="J391" s="17"/>
    </row>
    <row r="392" spans="1:10" x14ac:dyDescent="0.25">
      <c r="A392" s="11"/>
      <c r="B392" s="17"/>
      <c r="C392" s="30"/>
      <c r="D392" s="17"/>
      <c r="E392" s="17"/>
      <c r="F392" s="25"/>
      <c r="G392" s="25">
        <f t="shared" si="5"/>
        <v>0</v>
      </c>
      <c r="H392" s="17"/>
      <c r="I392" s="17"/>
      <c r="J392" s="17"/>
    </row>
    <row r="393" spans="1:10" x14ac:dyDescent="0.25">
      <c r="A393" s="11"/>
      <c r="B393" s="17"/>
      <c r="C393" s="30"/>
      <c r="D393" s="17"/>
      <c r="E393" s="17"/>
      <c r="F393" s="25"/>
      <c r="G393" s="25">
        <f t="shared" si="5"/>
        <v>0</v>
      </c>
      <c r="H393" s="17"/>
      <c r="I393" s="17"/>
      <c r="J393" s="17"/>
    </row>
    <row r="394" spans="1:10" x14ac:dyDescent="0.25">
      <c r="A394" s="11"/>
      <c r="B394" s="17"/>
      <c r="C394" s="30"/>
      <c r="D394" s="17"/>
      <c r="E394" s="17"/>
      <c r="F394" s="25"/>
      <c r="G394" s="25">
        <f t="shared" si="5"/>
        <v>0</v>
      </c>
      <c r="H394" s="17"/>
      <c r="I394" s="17"/>
      <c r="J394" s="17"/>
    </row>
    <row r="395" spans="1:10" x14ac:dyDescent="0.25">
      <c r="A395" s="11"/>
      <c r="B395" s="17"/>
      <c r="C395" s="30"/>
      <c r="D395" s="17"/>
      <c r="E395" s="17"/>
      <c r="F395" s="25"/>
      <c r="G395" s="25">
        <f t="shared" si="5"/>
        <v>0</v>
      </c>
      <c r="H395" s="17"/>
      <c r="I395" s="17"/>
      <c r="J395" s="17"/>
    </row>
    <row r="396" spans="1:10" x14ac:dyDescent="0.25">
      <c r="A396" s="11"/>
      <c r="B396" s="17"/>
      <c r="C396" s="30"/>
      <c r="D396" s="17"/>
      <c r="E396" s="17"/>
      <c r="F396" s="25"/>
      <c r="G396" s="25">
        <f t="shared" si="5"/>
        <v>0</v>
      </c>
      <c r="H396" s="17"/>
      <c r="I396" s="17"/>
      <c r="J396" s="17"/>
    </row>
    <row r="397" spans="1:10" x14ac:dyDescent="0.25">
      <c r="A397" s="11"/>
      <c r="B397" s="17"/>
      <c r="C397" s="30"/>
      <c r="D397" s="17"/>
      <c r="E397" s="17"/>
      <c r="F397" s="25"/>
      <c r="G397" s="25">
        <f t="shared" si="5"/>
        <v>0</v>
      </c>
      <c r="H397" s="17"/>
      <c r="I397" s="17"/>
      <c r="J397" s="17"/>
    </row>
    <row r="398" spans="1:10" x14ac:dyDescent="0.25">
      <c r="A398" s="11"/>
      <c r="B398" s="17"/>
      <c r="C398" s="30"/>
      <c r="D398" s="17"/>
      <c r="E398" s="17"/>
      <c r="F398" s="25"/>
      <c r="G398" s="25">
        <f t="shared" si="5"/>
        <v>0</v>
      </c>
      <c r="H398" s="17"/>
      <c r="I398" s="17"/>
      <c r="J398" s="17"/>
    </row>
    <row r="399" spans="1:10" x14ac:dyDescent="0.25">
      <c r="A399" s="11"/>
      <c r="B399" s="17"/>
      <c r="C399" s="30"/>
      <c r="D399" s="17"/>
      <c r="E399" s="17"/>
      <c r="F399" s="25"/>
      <c r="G399" s="25">
        <f t="shared" si="5"/>
        <v>0</v>
      </c>
      <c r="H399" s="17"/>
      <c r="I399" s="17"/>
      <c r="J399" s="17"/>
    </row>
    <row r="400" spans="1:10" x14ac:dyDescent="0.25">
      <c r="A400" s="11"/>
      <c r="B400" s="17"/>
      <c r="C400" s="30"/>
      <c r="D400" s="17"/>
      <c r="E400" s="17"/>
      <c r="F400" s="25"/>
      <c r="G400" s="25">
        <f t="shared" si="5"/>
        <v>0</v>
      </c>
      <c r="H400" s="17"/>
      <c r="I400" s="17"/>
      <c r="J400" s="17"/>
    </row>
    <row r="401" spans="1:10" x14ac:dyDescent="0.25">
      <c r="A401" s="11"/>
      <c r="B401" s="17"/>
      <c r="C401" s="30"/>
      <c r="D401" s="17"/>
      <c r="E401" s="17"/>
      <c r="F401" s="25"/>
      <c r="G401" s="25">
        <f t="shared" si="5"/>
        <v>0</v>
      </c>
      <c r="H401" s="17"/>
      <c r="I401" s="17"/>
      <c r="J401" s="17"/>
    </row>
    <row r="402" spans="1:10" x14ac:dyDescent="0.25">
      <c r="A402" s="11"/>
      <c r="B402" s="17"/>
      <c r="C402" s="30"/>
      <c r="D402" s="17"/>
      <c r="E402" s="17"/>
      <c r="F402" s="25"/>
      <c r="G402" s="25">
        <f t="shared" si="5"/>
        <v>0</v>
      </c>
      <c r="H402" s="17"/>
      <c r="I402" s="17"/>
      <c r="J402" s="17"/>
    </row>
    <row r="403" spans="1:10" x14ac:dyDescent="0.25">
      <c r="A403" s="11"/>
      <c r="B403" s="17"/>
      <c r="C403" s="30"/>
      <c r="D403" s="17"/>
      <c r="E403" s="17"/>
      <c r="F403" s="25"/>
      <c r="G403" s="25">
        <f t="shared" si="5"/>
        <v>0</v>
      </c>
      <c r="H403" s="17"/>
      <c r="I403" s="17"/>
      <c r="J403" s="17"/>
    </row>
    <row r="404" spans="1:10" x14ac:dyDescent="0.25">
      <c r="A404" s="11"/>
      <c r="B404" s="17"/>
      <c r="C404" s="30"/>
      <c r="D404" s="17"/>
      <c r="E404" s="17"/>
      <c r="F404" s="25"/>
      <c r="G404" s="25">
        <f t="shared" si="5"/>
        <v>0</v>
      </c>
      <c r="H404" s="17"/>
      <c r="I404" s="17"/>
      <c r="J404" s="17"/>
    </row>
    <row r="405" spans="1:10" x14ac:dyDescent="0.25">
      <c r="A405" s="11"/>
      <c r="B405" s="17"/>
      <c r="C405" s="30"/>
      <c r="D405" s="17"/>
      <c r="E405" s="17"/>
      <c r="F405" s="25"/>
      <c r="G405" s="25">
        <f t="shared" si="5"/>
        <v>0</v>
      </c>
      <c r="H405" s="17"/>
      <c r="I405" s="17"/>
      <c r="J405" s="17"/>
    </row>
    <row r="406" spans="1:10" x14ac:dyDescent="0.25">
      <c r="A406" s="11"/>
      <c r="B406" s="17"/>
      <c r="C406" s="30"/>
      <c r="D406" s="17"/>
      <c r="E406" s="17"/>
      <c r="F406" s="25"/>
      <c r="G406" s="25">
        <f t="shared" si="5"/>
        <v>0</v>
      </c>
      <c r="H406" s="17"/>
      <c r="I406" s="17"/>
      <c r="J406" s="17"/>
    </row>
    <row r="407" spans="1:10" x14ac:dyDescent="0.25">
      <c r="A407" s="11"/>
      <c r="B407" s="17"/>
      <c r="C407" s="30"/>
      <c r="D407" s="17"/>
      <c r="E407" s="17"/>
      <c r="F407" s="25"/>
      <c r="G407" s="25">
        <f t="shared" si="5"/>
        <v>0</v>
      </c>
      <c r="H407" s="17"/>
      <c r="I407" s="17"/>
      <c r="J407" s="17"/>
    </row>
    <row r="408" spans="1:10" x14ac:dyDescent="0.25">
      <c r="A408" s="11"/>
      <c r="B408" s="17"/>
      <c r="C408" s="30"/>
      <c r="D408" s="17"/>
      <c r="E408" s="17"/>
      <c r="F408" s="25"/>
      <c r="G408" s="25">
        <f t="shared" si="5"/>
        <v>0</v>
      </c>
      <c r="H408" s="17"/>
      <c r="I408" s="17"/>
      <c r="J408" s="17"/>
    </row>
    <row r="409" spans="1:10" x14ac:dyDescent="0.25">
      <c r="A409" s="11"/>
      <c r="B409" s="17"/>
      <c r="C409" s="30"/>
      <c r="D409" s="17"/>
      <c r="E409" s="17"/>
      <c r="F409" s="25"/>
      <c r="G409" s="25">
        <f t="shared" si="5"/>
        <v>0</v>
      </c>
      <c r="H409" s="17"/>
      <c r="I409" s="17"/>
      <c r="J409" s="17"/>
    </row>
    <row r="410" spans="1:10" x14ac:dyDescent="0.25">
      <c r="A410" s="11"/>
      <c r="B410" s="17"/>
      <c r="C410" s="30"/>
      <c r="D410" s="17"/>
      <c r="E410" s="17"/>
      <c r="F410" s="25"/>
      <c r="G410" s="25">
        <f t="shared" si="5"/>
        <v>0</v>
      </c>
      <c r="H410" s="17"/>
      <c r="I410" s="17"/>
      <c r="J410" s="17"/>
    </row>
    <row r="411" spans="1:10" x14ac:dyDescent="0.25">
      <c r="A411" s="11"/>
      <c r="B411" s="17"/>
      <c r="C411" s="30"/>
      <c r="D411" s="17"/>
      <c r="E411" s="17"/>
      <c r="F411" s="25"/>
      <c r="G411" s="25">
        <f t="shared" si="5"/>
        <v>0</v>
      </c>
      <c r="H411" s="17"/>
      <c r="I411" s="17"/>
      <c r="J411" s="17"/>
    </row>
    <row r="412" spans="1:10" x14ac:dyDescent="0.25">
      <c r="A412" s="11"/>
      <c r="B412" s="17"/>
      <c r="C412" s="30"/>
      <c r="D412" s="17"/>
      <c r="E412" s="17"/>
      <c r="F412" s="25"/>
      <c r="G412" s="25">
        <f t="shared" si="5"/>
        <v>0</v>
      </c>
      <c r="H412" s="17"/>
      <c r="I412" s="17"/>
      <c r="J412" s="17"/>
    </row>
    <row r="413" spans="1:10" x14ac:dyDescent="0.25">
      <c r="A413" s="11"/>
      <c r="B413" s="17"/>
      <c r="C413" s="30"/>
      <c r="D413" s="17"/>
      <c r="E413" s="17"/>
      <c r="F413" s="25"/>
      <c r="G413" s="25">
        <f t="shared" si="5"/>
        <v>0</v>
      </c>
      <c r="H413" s="17"/>
      <c r="I413" s="17"/>
      <c r="J413" s="17"/>
    </row>
    <row r="414" spans="1:10" x14ac:dyDescent="0.25">
      <c r="A414" s="11"/>
      <c r="B414" s="17"/>
      <c r="C414" s="30"/>
      <c r="D414" s="17"/>
      <c r="E414" s="17"/>
      <c r="F414" s="25"/>
      <c r="G414" s="25">
        <f t="shared" si="5"/>
        <v>0</v>
      </c>
      <c r="H414" s="17"/>
      <c r="I414" s="17"/>
      <c r="J414" s="17"/>
    </row>
    <row r="415" spans="1:10" x14ac:dyDescent="0.25">
      <c r="A415" s="11"/>
      <c r="B415" s="17"/>
      <c r="C415" s="30"/>
      <c r="D415" s="17"/>
      <c r="E415" s="17"/>
      <c r="F415" s="25"/>
      <c r="G415" s="25">
        <f t="shared" si="5"/>
        <v>0</v>
      </c>
      <c r="H415" s="17"/>
      <c r="I415" s="17"/>
      <c r="J415" s="17"/>
    </row>
    <row r="416" spans="1:10" x14ac:dyDescent="0.25">
      <c r="A416" s="11"/>
      <c r="B416" s="17"/>
      <c r="C416" s="30"/>
      <c r="D416" s="17"/>
      <c r="E416" s="17"/>
      <c r="F416" s="25"/>
      <c r="G416" s="25">
        <f t="shared" si="5"/>
        <v>0</v>
      </c>
      <c r="H416" s="17"/>
      <c r="I416" s="17"/>
      <c r="J416" s="17"/>
    </row>
    <row r="417" spans="1:9" x14ac:dyDescent="0.25">
      <c r="A417" s="17"/>
      <c r="B417" s="17"/>
      <c r="C417" s="30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30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30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30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30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30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30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30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30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30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30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30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30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30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30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30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30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30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30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30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30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30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30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30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30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30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30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30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30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30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30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30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30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30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30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30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30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30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30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30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30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30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30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30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30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30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30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30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30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30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30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30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30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30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30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30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30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30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30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30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30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30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30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30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30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30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30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30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30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30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30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30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30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30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30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30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30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30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30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30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30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30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30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30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30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30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30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30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30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30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30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30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30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30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30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30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30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30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30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30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30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30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30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30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30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30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30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30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30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30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30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30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30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30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30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30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30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30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30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30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30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30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30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30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30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30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30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30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30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30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30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30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30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30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30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30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30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30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30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30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30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30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30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30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30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30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30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30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30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30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30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30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30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30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30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30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30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30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30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30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30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30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30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30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30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30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30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30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30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30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30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30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30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30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30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30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30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30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30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30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30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30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30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30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30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30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30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30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30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30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30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30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30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30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30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30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30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30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30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30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30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30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30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30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30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30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30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30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30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30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30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30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30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30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30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30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30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30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30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30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30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30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30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30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30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30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30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30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30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30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30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30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30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30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30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30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30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30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30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30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30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30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30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30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30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30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30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30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30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30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30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30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30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30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30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30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30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30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30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30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30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30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30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30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30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30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30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30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30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30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30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30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30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30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30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30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30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30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30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30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30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30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30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30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30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30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30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30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30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30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30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30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30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30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30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30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30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30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30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30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30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30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30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30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30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30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30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30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30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30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30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30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30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30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30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30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30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30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30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30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30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30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30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30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30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30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30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30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30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30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30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30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30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30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30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30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30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30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30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30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30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30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30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30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30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30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30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30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30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30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30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30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30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30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30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30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30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30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30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30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30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30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30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30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30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30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30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30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30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30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30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30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30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30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30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30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30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30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30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30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30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30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30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30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30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30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30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30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30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30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30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30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30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30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30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30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30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30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30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30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30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30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30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30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30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30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30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30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30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30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30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30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30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30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30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30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30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30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30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30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30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30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30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30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30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30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30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30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30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30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30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30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30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30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30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30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30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30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30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30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30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30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30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30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30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30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30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30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30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30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30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30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30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30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30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30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30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30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30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30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30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30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30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30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30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30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30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30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30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30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30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30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30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30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30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30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30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30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30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30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30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30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30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30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30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30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30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30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30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30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30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30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30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30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30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30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30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30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30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30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30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30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30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30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30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30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30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30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30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30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30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30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30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30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30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30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30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30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30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30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30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30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30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30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30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30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30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30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30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30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30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30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30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30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30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30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30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30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30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30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30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30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30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30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30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30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30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30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30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30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30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30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30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30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30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30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30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30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30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30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30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30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30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30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30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30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30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30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30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30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30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30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30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30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30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30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30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30"/>
      <c r="D994" s="17"/>
      <c r="E994" s="17"/>
      <c r="F994" s="17"/>
      <c r="G994" s="17"/>
      <c r="H994" s="17"/>
    </row>
    <row r="995" spans="1:9" x14ac:dyDescent="0.25">
      <c r="A995" s="17"/>
      <c r="B995" s="17"/>
      <c r="C995" s="30"/>
      <c r="D995" s="17"/>
      <c r="E995" s="17"/>
      <c r="F995" s="17"/>
      <c r="G995" s="17"/>
      <c r="H995" s="17"/>
    </row>
    <row r="996" spans="1:9" x14ac:dyDescent="0.25">
      <c r="A996" s="17"/>
      <c r="B996" s="17"/>
      <c r="C996" s="30"/>
      <c r="D996" s="17"/>
      <c r="E996" s="17"/>
      <c r="F996" s="17"/>
      <c r="G996" s="17"/>
      <c r="H996" s="17"/>
    </row>
    <row r="997" spans="1:9" x14ac:dyDescent="0.25">
      <c r="A997" s="17"/>
      <c r="B997" s="17"/>
      <c r="C997" s="30"/>
      <c r="D997" s="17"/>
      <c r="E997" s="17"/>
      <c r="F997" s="17"/>
      <c r="G997" s="17"/>
      <c r="H997" s="17"/>
    </row>
    <row r="998" spans="1:9" x14ac:dyDescent="0.25">
      <c r="A998" s="17"/>
      <c r="B998" s="17"/>
      <c r="C998" s="30"/>
      <c r="D998" s="17"/>
      <c r="E998" s="17"/>
      <c r="F998" s="17"/>
      <c r="G998" s="17"/>
      <c r="H998" s="17"/>
    </row>
    <row r="999" spans="1:9" x14ac:dyDescent="0.25">
      <c r="A999" s="17"/>
      <c r="B999" s="17"/>
      <c r="C999" s="30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30"/>
      <c r="D1000" s="17"/>
      <c r="E1000" s="17"/>
      <c r="F1000" s="17"/>
      <c r="G1000" s="17"/>
      <c r="H1000" s="17"/>
    </row>
  </sheetData>
  <conditionalFormatting sqref="G2:G416">
    <cfRule type="expression" dxfId="3" priority="1">
      <formula>G2&lt;0</formula>
    </cfRule>
    <cfRule type="expression" dxfId="2" priority="2">
      <formula>G2&gt;0</formula>
    </cfRule>
  </conditionalFormatting>
  <dataValidations count="1">
    <dataValidation type="list" allowBlank="1" showErrorMessage="1" sqref="C2:C1000" xr:uid="{00000000-0002-0000-0E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E00-000000000000}">
          <x14:formula1>
            <xm:f>CATEGORIASCONFIGS!$E$2:$E$35</xm:f>
          </x14:formula1>
          <xm:sqref>E2:E416</xm:sqref>
        </x14:dataValidation>
        <x14:dataValidation type="list" allowBlank="1" showErrorMessage="1" xr:uid="{00000000-0002-0000-0E00-000002000000}">
          <x14:formula1>
            <xm:f>CATEGORIASCONFIGS!$C$2:$C$8</xm:f>
          </x14:formula1>
          <xm:sqref>D2:D416</xm:sqref>
        </x14:dataValidation>
        <x14:dataValidation type="list" allowBlank="1" showErrorMessage="1" xr:uid="{00000000-0002-0000-0E00-000003000000}">
          <x14:formula1>
            <xm:f>CATEGORIASCONFIGS!$A$2:$A$4</xm:f>
          </x14:formula1>
          <xm:sqref>B2:B416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M1000"/>
  <sheetViews>
    <sheetView workbookViewId="0"/>
  </sheetViews>
  <sheetFormatPr defaultColWidth="12.6640625" defaultRowHeight="15.75" customHeight="1" x14ac:dyDescent="0.25"/>
  <cols>
    <col min="1" max="1" width="9.33203125" customWidth="1"/>
    <col min="2" max="2" width="11.77734375" customWidth="1"/>
    <col min="3" max="3" width="11" customWidth="1"/>
    <col min="4" max="4" width="16.33203125" customWidth="1"/>
    <col min="5" max="5" width="14.33203125" customWidth="1"/>
    <col min="6" max="6" width="10.109375" customWidth="1"/>
    <col min="7" max="7" width="16.109375" hidden="1" customWidth="1"/>
    <col min="8" max="8" width="17.6640625" customWidth="1"/>
    <col min="9" max="9" width="17.33203125" customWidth="1"/>
    <col min="10" max="10" width="8.21875" customWidth="1"/>
    <col min="11" max="12" width="19.77734375" customWidth="1"/>
    <col min="13" max="13" width="10.109375" customWidth="1"/>
    <col min="15" max="15" width="11.44140625" customWidth="1"/>
    <col min="16" max="16" width="13.33203125" customWidth="1"/>
    <col min="17" max="17" width="10.88671875" customWidth="1"/>
    <col min="18" max="18" width="10.109375" customWidth="1"/>
    <col min="19" max="19" width="10.6640625" customWidth="1"/>
  </cols>
  <sheetData>
    <row r="1" spans="1:39" x14ac:dyDescent="0.25">
      <c r="A1" s="14" t="s">
        <v>156</v>
      </c>
      <c r="B1" s="14" t="s">
        <v>9</v>
      </c>
      <c r="C1" s="45" t="s">
        <v>730</v>
      </c>
      <c r="D1" s="14" t="s">
        <v>79</v>
      </c>
      <c r="E1" s="14" t="s">
        <v>109</v>
      </c>
      <c r="F1" s="14" t="s">
        <v>83</v>
      </c>
      <c r="G1" s="14" t="s">
        <v>158</v>
      </c>
      <c r="H1" s="14" t="s">
        <v>84</v>
      </c>
      <c r="I1" s="5" t="s">
        <v>875</v>
      </c>
      <c r="J1" s="5" t="s">
        <v>6</v>
      </c>
      <c r="K1" s="14"/>
      <c r="L1" s="14" t="s">
        <v>160</v>
      </c>
      <c r="M1" s="14" t="s">
        <v>83</v>
      </c>
      <c r="X1" s="47" t="s">
        <v>957</v>
      </c>
      <c r="Y1" s="47" t="s">
        <v>958</v>
      </c>
      <c r="Z1" s="47" t="s">
        <v>998</v>
      </c>
      <c r="AA1" s="47" t="s">
        <v>999</v>
      </c>
      <c r="AB1" s="47" t="s">
        <v>959</v>
      </c>
      <c r="AC1" s="47" t="s">
        <v>960</v>
      </c>
      <c r="AD1" s="47" t="s">
        <v>1000</v>
      </c>
      <c r="AE1" s="47" t="s">
        <v>1001</v>
      </c>
      <c r="AF1" s="47" t="s">
        <v>1002</v>
      </c>
      <c r="AG1" s="47" t="s">
        <v>1003</v>
      </c>
      <c r="AH1" s="47" t="s">
        <v>1011</v>
      </c>
      <c r="AI1" s="48" t="s">
        <v>1012</v>
      </c>
      <c r="AJ1" s="48" t="s">
        <v>1013</v>
      </c>
      <c r="AL1" s="48" t="s">
        <v>1004</v>
      </c>
      <c r="AM1" s="48" t="s">
        <v>83</v>
      </c>
    </row>
    <row r="2" spans="1:39" x14ac:dyDescent="0.25">
      <c r="A2" s="11">
        <v>46376.701971956019</v>
      </c>
      <c r="B2" s="17" t="s">
        <v>165</v>
      </c>
      <c r="C2" s="30" t="s">
        <v>733</v>
      </c>
      <c r="D2" s="17" t="s">
        <v>737</v>
      </c>
      <c r="E2" s="17" t="s">
        <v>149</v>
      </c>
      <c r="F2" s="25">
        <v>215.13</v>
      </c>
      <c r="G2" s="25">
        <f t="shared" ref="G2:G4" si="0">IF(B2="Saída", -ABS(F2), ABS(F2))</f>
        <v>-215.13</v>
      </c>
      <c r="H2" s="17" t="s">
        <v>889</v>
      </c>
      <c r="I2" s="17"/>
      <c r="J2" s="17"/>
      <c r="K2" s="17"/>
      <c r="L2" s="17" t="s">
        <v>162</v>
      </c>
      <c r="M2" s="25">
        <f>SUMIF(B:B,"Entrada",G:G)</f>
        <v>8362.6</v>
      </c>
      <c r="AL2" t="s">
        <v>1005</v>
      </c>
      <c r="AM2">
        <f>SUMIFS($F:$F,$X:$X,"Entrada",$Y:$Y,"Receita")+SUMIFS($F:$F,$B:$B,"Entrada",$X:$X,"")</f>
        <v>8362.6</v>
      </c>
    </row>
    <row r="3" spans="1:39" x14ac:dyDescent="0.25">
      <c r="A3" s="39">
        <v>46357.920671296299</v>
      </c>
      <c r="B3" s="17" t="s">
        <v>165</v>
      </c>
      <c r="C3" s="17"/>
      <c r="D3" s="17" t="s">
        <v>113</v>
      </c>
      <c r="E3" s="17" t="s">
        <v>124</v>
      </c>
      <c r="F3" s="25">
        <v>1500</v>
      </c>
      <c r="G3" s="25">
        <f t="shared" si="0"/>
        <v>-1500</v>
      </c>
      <c r="H3" s="17" t="s">
        <v>759</v>
      </c>
      <c r="I3" s="17"/>
      <c r="J3" s="17"/>
      <c r="K3" s="17"/>
      <c r="L3" s="17" t="s">
        <v>164</v>
      </c>
      <c r="M3" s="25">
        <f>SUMIF(B:B,"Saída",G:G)</f>
        <v>-3231.39</v>
      </c>
      <c r="AL3" t="s">
        <v>1006</v>
      </c>
      <c r="AM3">
        <f>SUMIFS($F:$F,$X:$X,"Saída",$Y:$Y,"Despesa")+SUMIFS($F:$F,$B:$B,"Saída",$X:$X,"",$D:$D,"&lt;&gt;Investimentos",$D:$D,"&lt;&gt;Sonhos")</f>
        <v>2981.39</v>
      </c>
    </row>
    <row r="4" spans="1:39" x14ac:dyDescent="0.25">
      <c r="A4" s="39">
        <v>46357.920671296299</v>
      </c>
      <c r="B4" s="17" t="s">
        <v>165</v>
      </c>
      <c r="C4" s="17"/>
      <c r="D4" s="17" t="s">
        <v>113</v>
      </c>
      <c r="E4" s="17" t="s">
        <v>147</v>
      </c>
      <c r="F4" s="25">
        <v>836.2</v>
      </c>
      <c r="G4" s="25">
        <f t="shared" si="0"/>
        <v>-836.2</v>
      </c>
      <c r="H4" s="17" t="s">
        <v>761</v>
      </c>
      <c r="I4" s="17"/>
      <c r="J4" s="17"/>
      <c r="K4" s="17"/>
      <c r="L4" s="17" t="s">
        <v>224</v>
      </c>
      <c r="M4" s="25">
        <f>M2 + M3</f>
        <v>5131.2100000000009</v>
      </c>
      <c r="AL4" t="s">
        <v>1007</v>
      </c>
      <c r="AM4">
        <f>SUMIFS($F:$F,$X:$X,"Saída",$Y:$Y,"Despesa",$AB:$AB,"Essencial")+SUMIFS($F:$F,$B:$B,"Saída",$X:$X,"",$D:$D,"Essencial")</f>
        <v>2622.7999999999997</v>
      </c>
    </row>
    <row r="5" spans="1:39" x14ac:dyDescent="0.25">
      <c r="A5" s="39">
        <v>46357.920671296299</v>
      </c>
      <c r="B5" s="17" t="s">
        <v>165</v>
      </c>
      <c r="C5" s="17"/>
      <c r="D5" s="17" t="s">
        <v>120</v>
      </c>
      <c r="E5" s="17" t="s">
        <v>127</v>
      </c>
      <c r="F5" s="25">
        <v>250</v>
      </c>
      <c r="G5" s="25">
        <f>IF(B5="Saída",-ABS(F5),ABS(F5))</f>
        <v>-250</v>
      </c>
      <c r="H5" s="17"/>
      <c r="I5" s="17"/>
      <c r="J5" s="17"/>
      <c r="AL5" t="s">
        <v>1008</v>
      </c>
      <c r="AM5">
        <f>SUMIFS($F:$F,$X:$X,"Saída",$Y:$Y,"Despesa",$AB:$AB,"Não essencial")+SUMIFS($F:$F,$B:$B,"Saída",$X:$X,"",$D:$D,"Não essencial")</f>
        <v>358.59</v>
      </c>
    </row>
    <row r="6" spans="1:39" x14ac:dyDescent="0.25">
      <c r="A6" s="39">
        <v>46357.920671296299</v>
      </c>
      <c r="B6" s="17" t="s">
        <v>165</v>
      </c>
      <c r="C6" s="17" t="s">
        <v>166</v>
      </c>
      <c r="D6" s="17" t="s">
        <v>113</v>
      </c>
      <c r="E6" s="17" t="s">
        <v>129</v>
      </c>
      <c r="F6" s="25">
        <v>24.9</v>
      </c>
      <c r="G6" s="25">
        <f t="shared" ref="G6:G260" si="1">IF(B6="Saída", -ABS(F6), ABS(F6))</f>
        <v>-24.9</v>
      </c>
      <c r="H6" s="17" t="s">
        <v>753</v>
      </c>
      <c r="I6" s="17"/>
      <c r="J6" s="17"/>
      <c r="AL6" t="s">
        <v>120</v>
      </c>
      <c r="AM6">
        <f>SUMIFS($F:$F,$X:$X,"Saída",$Y:$Y,"Investimento")+SUMIFS($F:$F,$B:$B,"Saída",$X:$X,"",$D:$D,"Investimentos")</f>
        <v>250</v>
      </c>
    </row>
    <row r="7" spans="1:39" x14ac:dyDescent="0.25">
      <c r="A7" s="39">
        <v>46357.523414351854</v>
      </c>
      <c r="B7" s="17" t="s">
        <v>776</v>
      </c>
      <c r="C7" s="17" t="s">
        <v>166</v>
      </c>
      <c r="D7" s="17" t="s">
        <v>126</v>
      </c>
      <c r="E7" s="17"/>
      <c r="F7" s="16">
        <v>8362.6</v>
      </c>
      <c r="G7" s="25">
        <f t="shared" si="1"/>
        <v>8362.6</v>
      </c>
      <c r="H7" s="17" t="s">
        <v>882</v>
      </c>
      <c r="I7" s="17"/>
      <c r="J7" s="14"/>
      <c r="K7" s="14"/>
      <c r="L7" s="14" t="s">
        <v>172</v>
      </c>
      <c r="M7" s="14" t="s">
        <v>173</v>
      </c>
      <c r="O7" s="14" t="s">
        <v>172</v>
      </c>
      <c r="P7" s="14" t="s">
        <v>174</v>
      </c>
      <c r="Q7" s="14" t="s">
        <v>175</v>
      </c>
      <c r="R7" s="14" t="s">
        <v>173</v>
      </c>
      <c r="S7" s="14" t="s">
        <v>176</v>
      </c>
      <c r="AL7" t="s">
        <v>1009</v>
      </c>
      <c r="AM7">
        <f>SUMIFS($F:$F,$X:$X,"Saída",$Y:$Y,"Aporte para sonho")+SUMIFS($F:$F,$B:$B,"Saída",$X:$X,"",$D:$D,"Sonhos")</f>
        <v>0</v>
      </c>
    </row>
    <row r="8" spans="1:39" x14ac:dyDescent="0.25">
      <c r="A8" s="39">
        <v>46359.632777777777</v>
      </c>
      <c r="B8" s="17" t="s">
        <v>165</v>
      </c>
      <c r="C8" s="30" t="s">
        <v>166</v>
      </c>
      <c r="D8" s="17" t="s">
        <v>737</v>
      </c>
      <c r="E8" s="17" t="s">
        <v>152</v>
      </c>
      <c r="F8" s="25">
        <v>80.010000000000005</v>
      </c>
      <c r="G8" s="25">
        <f t="shared" si="1"/>
        <v>-80.010000000000005</v>
      </c>
      <c r="H8" s="17" t="s">
        <v>929</v>
      </c>
      <c r="I8" s="17"/>
      <c r="J8" s="17"/>
      <c r="K8" s="17"/>
      <c r="L8" s="17" t="s">
        <v>113</v>
      </c>
      <c r="M8" s="25">
        <f t="shared" ref="M8:M11" si="2">SUMIF($D:$D, L8, $F:$F)</f>
        <v>2622.7999999999997</v>
      </c>
      <c r="O8" s="17" t="s">
        <v>113</v>
      </c>
      <c r="P8" s="25">
        <f>M2*Q8</f>
        <v>3763.17</v>
      </c>
      <c r="Q8" s="31">
        <v>0.45</v>
      </c>
      <c r="R8" s="25">
        <f t="shared" ref="R8:R11" si="3">ABS(SUMIF(D:D, O8, F:F))</f>
        <v>2622.7999999999997</v>
      </c>
      <c r="S8" s="25">
        <f t="shared" ref="S8:S11" si="4">R8 - P8</f>
        <v>-1140.3700000000003</v>
      </c>
      <c r="AL8" t="s">
        <v>1010</v>
      </c>
      <c r="AM8">
        <f>SUMIFS($F:$F,$X:$X,"Entrada")-SUMIFS($F:$F,$X:$X,"Saída")+SUMIFS($F:$F,$B:$B,"Entrada",$X:$X,"")-SUMIFS($F:$F,$B:$B,"Saída",$X:$X,"")</f>
        <v>5131.2100000000009</v>
      </c>
    </row>
    <row r="9" spans="1:39" x14ac:dyDescent="0.25">
      <c r="A9" s="39">
        <v>46380.470949074072</v>
      </c>
      <c r="B9" s="17" t="s">
        <v>165</v>
      </c>
      <c r="C9" s="30" t="s">
        <v>166</v>
      </c>
      <c r="D9" s="17" t="s">
        <v>737</v>
      </c>
      <c r="E9" s="17" t="s">
        <v>129</v>
      </c>
      <c r="F9" s="25">
        <v>63.45</v>
      </c>
      <c r="G9" s="25">
        <f t="shared" si="1"/>
        <v>-63.45</v>
      </c>
      <c r="H9" s="17" t="s">
        <v>946</v>
      </c>
      <c r="I9" s="17"/>
      <c r="J9" s="17"/>
      <c r="K9" s="17"/>
      <c r="L9" s="17" t="s">
        <v>117</v>
      </c>
      <c r="M9" s="25">
        <f t="shared" si="2"/>
        <v>358.59</v>
      </c>
      <c r="O9" s="17" t="s">
        <v>117</v>
      </c>
      <c r="P9" s="25">
        <f>M2*Q9</f>
        <v>1672.5200000000002</v>
      </c>
      <c r="Q9" s="31">
        <v>0.2</v>
      </c>
      <c r="R9" s="25">
        <f t="shared" si="3"/>
        <v>358.59</v>
      </c>
      <c r="S9" s="25">
        <f t="shared" si="4"/>
        <v>-1313.9300000000003</v>
      </c>
    </row>
    <row r="10" spans="1:39" x14ac:dyDescent="0.25">
      <c r="A10" s="11">
        <v>46380.474403645829</v>
      </c>
      <c r="B10" s="17" t="s">
        <v>165</v>
      </c>
      <c r="C10" s="30" t="s">
        <v>166</v>
      </c>
      <c r="D10" s="17" t="s">
        <v>113</v>
      </c>
      <c r="E10" s="17" t="s">
        <v>124</v>
      </c>
      <c r="F10" s="25">
        <v>261.7</v>
      </c>
      <c r="G10" s="25">
        <f t="shared" si="1"/>
        <v>-261.7</v>
      </c>
      <c r="H10" s="17" t="s">
        <v>167</v>
      </c>
      <c r="I10" s="17"/>
      <c r="J10" s="17"/>
      <c r="K10" s="17"/>
      <c r="L10" s="17" t="s">
        <v>120</v>
      </c>
      <c r="M10" s="25">
        <f t="shared" si="2"/>
        <v>250</v>
      </c>
      <c r="O10" s="17" t="s">
        <v>120</v>
      </c>
      <c r="P10" s="25">
        <f>M2*Q10</f>
        <v>2508.7800000000002</v>
      </c>
      <c r="Q10" s="31">
        <v>0.3</v>
      </c>
      <c r="R10" s="25">
        <f t="shared" si="3"/>
        <v>250</v>
      </c>
      <c r="S10" s="25">
        <f t="shared" si="4"/>
        <v>-2258.7800000000002</v>
      </c>
    </row>
    <row r="11" spans="1:39" x14ac:dyDescent="0.25">
      <c r="A11" s="17" t="s">
        <v>956</v>
      </c>
      <c r="B11" s="17"/>
      <c r="C11" s="30"/>
      <c r="D11" s="17"/>
      <c r="E11" s="17"/>
      <c r="F11" s="25"/>
      <c r="G11" s="25">
        <f t="shared" si="1"/>
        <v>0</v>
      </c>
      <c r="H11" s="17"/>
      <c r="I11" s="17"/>
      <c r="J11" s="17"/>
      <c r="K11" s="17"/>
      <c r="L11" s="17" t="s">
        <v>123</v>
      </c>
      <c r="M11" s="25">
        <f t="shared" si="2"/>
        <v>0</v>
      </c>
      <c r="O11" s="17" t="s">
        <v>123</v>
      </c>
      <c r="P11" s="25">
        <f>M2*Q11</f>
        <v>418.13000000000005</v>
      </c>
      <c r="Q11" s="31">
        <v>0.05</v>
      </c>
      <c r="R11" s="25">
        <f t="shared" si="3"/>
        <v>0</v>
      </c>
      <c r="S11" s="25">
        <f t="shared" si="4"/>
        <v>-418.13000000000005</v>
      </c>
    </row>
    <row r="12" spans="1:39" x14ac:dyDescent="0.25">
      <c r="A12" s="11"/>
      <c r="B12" s="17"/>
      <c r="C12" s="30"/>
      <c r="D12" s="17"/>
      <c r="E12" s="17"/>
      <c r="F12" s="25"/>
      <c r="G12" s="25">
        <f t="shared" si="1"/>
        <v>0</v>
      </c>
      <c r="H12" s="17"/>
      <c r="I12" s="17"/>
      <c r="J12" s="17"/>
    </row>
    <row r="13" spans="1:39" x14ac:dyDescent="0.25">
      <c r="A13" s="11"/>
      <c r="B13" s="17"/>
      <c r="C13" s="30"/>
      <c r="D13" s="17"/>
      <c r="E13" s="17"/>
      <c r="F13" s="25"/>
      <c r="G13" s="25">
        <f t="shared" si="1"/>
        <v>0</v>
      </c>
      <c r="H13" s="17"/>
      <c r="I13" s="17"/>
      <c r="J13" s="17"/>
    </row>
    <row r="14" spans="1:39" x14ac:dyDescent="0.25">
      <c r="A14" s="11"/>
      <c r="B14" s="17"/>
      <c r="C14" s="30"/>
      <c r="D14" s="17"/>
      <c r="E14" s="17"/>
      <c r="F14" s="25"/>
      <c r="G14" s="25">
        <f t="shared" si="1"/>
        <v>0</v>
      </c>
      <c r="H14" s="17"/>
      <c r="I14" s="17"/>
      <c r="J14" s="17"/>
    </row>
    <row r="15" spans="1:39" x14ac:dyDescent="0.25">
      <c r="A15" s="11"/>
      <c r="B15" s="17"/>
      <c r="C15" s="30"/>
      <c r="D15" s="17"/>
      <c r="E15" s="17"/>
      <c r="F15" s="25"/>
      <c r="G15" s="25">
        <f t="shared" si="1"/>
        <v>0</v>
      </c>
      <c r="H15" s="17"/>
      <c r="I15" s="17"/>
      <c r="J15" s="17"/>
    </row>
    <row r="16" spans="1:39" x14ac:dyDescent="0.25">
      <c r="A16" s="11"/>
      <c r="B16" s="17"/>
      <c r="C16" s="30"/>
      <c r="D16" s="17"/>
      <c r="E16" s="17"/>
      <c r="F16" s="25"/>
      <c r="G16" s="25">
        <f t="shared" si="1"/>
        <v>0</v>
      </c>
      <c r="H16" s="17"/>
      <c r="I16" s="17"/>
      <c r="J16" s="17"/>
    </row>
    <row r="17" spans="1:10" x14ac:dyDescent="0.25">
      <c r="A17" s="11"/>
      <c r="B17" s="17"/>
      <c r="C17" s="30"/>
      <c r="D17" s="17"/>
      <c r="E17" s="17"/>
      <c r="F17" s="25"/>
      <c r="G17" s="25">
        <f t="shared" si="1"/>
        <v>0</v>
      </c>
      <c r="H17" s="17"/>
      <c r="I17" s="17"/>
      <c r="J17" s="17"/>
    </row>
    <row r="18" spans="1:10" x14ac:dyDescent="0.25">
      <c r="A18" s="11"/>
      <c r="B18" s="17"/>
      <c r="C18" s="30"/>
      <c r="D18" s="17"/>
      <c r="E18" s="17"/>
      <c r="F18" s="25"/>
      <c r="G18" s="25">
        <f t="shared" si="1"/>
        <v>0</v>
      </c>
      <c r="H18" s="17"/>
      <c r="I18" s="17"/>
      <c r="J18" s="17"/>
    </row>
    <row r="19" spans="1:10" x14ac:dyDescent="0.25">
      <c r="A19" s="11"/>
      <c r="B19" s="17"/>
      <c r="C19" s="30"/>
      <c r="D19" s="17"/>
      <c r="E19" s="17"/>
      <c r="F19" s="25"/>
      <c r="G19" s="25">
        <f t="shared" si="1"/>
        <v>0</v>
      </c>
      <c r="H19" s="17"/>
      <c r="I19" s="17"/>
      <c r="J19" s="17"/>
    </row>
    <row r="20" spans="1:10" x14ac:dyDescent="0.25">
      <c r="A20" s="11"/>
      <c r="B20" s="17"/>
      <c r="C20" s="30"/>
      <c r="D20" s="17"/>
      <c r="E20" s="17"/>
      <c r="F20" s="25"/>
      <c r="G20" s="25">
        <f t="shared" si="1"/>
        <v>0</v>
      </c>
      <c r="H20" s="17"/>
      <c r="I20" s="17"/>
      <c r="J20" s="17"/>
    </row>
    <row r="21" spans="1:10" x14ac:dyDescent="0.25">
      <c r="A21" s="11"/>
      <c r="B21" s="17"/>
      <c r="C21" s="30"/>
      <c r="D21" s="17"/>
      <c r="E21" s="17"/>
      <c r="F21" s="25"/>
      <c r="G21" s="25">
        <f t="shared" si="1"/>
        <v>0</v>
      </c>
      <c r="H21" s="17"/>
      <c r="I21" s="17"/>
      <c r="J21" s="17"/>
    </row>
    <row r="22" spans="1:10" x14ac:dyDescent="0.25">
      <c r="A22" s="11"/>
      <c r="B22" s="17"/>
      <c r="C22" s="30"/>
      <c r="D22" s="17"/>
      <c r="E22" s="17"/>
      <c r="F22" s="25"/>
      <c r="G22" s="25">
        <f t="shared" si="1"/>
        <v>0</v>
      </c>
      <c r="H22" s="17"/>
      <c r="I22" s="17"/>
      <c r="J22" s="17"/>
    </row>
    <row r="23" spans="1:10" x14ac:dyDescent="0.25">
      <c r="A23" s="11"/>
      <c r="B23" s="17"/>
      <c r="C23" s="30"/>
      <c r="D23" s="17"/>
      <c r="E23" s="17"/>
      <c r="F23" s="25"/>
      <c r="G23" s="25">
        <f t="shared" si="1"/>
        <v>0</v>
      </c>
      <c r="H23" s="17"/>
      <c r="I23" s="17"/>
      <c r="J23" s="17"/>
    </row>
    <row r="24" spans="1:10" x14ac:dyDescent="0.25">
      <c r="A24" s="11"/>
      <c r="B24" s="17"/>
      <c r="C24" s="30"/>
      <c r="D24" s="17"/>
      <c r="E24" s="17"/>
      <c r="F24" s="25"/>
      <c r="G24" s="25">
        <f t="shared" si="1"/>
        <v>0</v>
      </c>
      <c r="H24" s="17"/>
      <c r="I24" s="17"/>
      <c r="J24" s="17"/>
    </row>
    <row r="25" spans="1:10" x14ac:dyDescent="0.25">
      <c r="A25" s="11"/>
      <c r="B25" s="17"/>
      <c r="C25" s="30"/>
      <c r="D25" s="17"/>
      <c r="E25" s="17"/>
      <c r="F25" s="25"/>
      <c r="G25" s="25">
        <f t="shared" si="1"/>
        <v>0</v>
      </c>
      <c r="H25" s="17"/>
      <c r="I25" s="17"/>
      <c r="J25" s="17"/>
    </row>
    <row r="26" spans="1:10" x14ac:dyDescent="0.25">
      <c r="A26" s="11"/>
      <c r="B26" s="17"/>
      <c r="C26" s="30"/>
      <c r="D26" s="17"/>
      <c r="E26" s="17"/>
      <c r="F26" s="25"/>
      <c r="G26" s="25">
        <f t="shared" si="1"/>
        <v>0</v>
      </c>
      <c r="H26" s="17"/>
      <c r="I26" s="17"/>
      <c r="J26" s="17"/>
    </row>
    <row r="27" spans="1:10" x14ac:dyDescent="0.25">
      <c r="A27" s="11"/>
      <c r="B27" s="17"/>
      <c r="C27" s="30"/>
      <c r="D27" s="17"/>
      <c r="E27" s="17"/>
      <c r="F27" s="25"/>
      <c r="G27" s="25">
        <f t="shared" si="1"/>
        <v>0</v>
      </c>
      <c r="H27" s="17"/>
      <c r="I27" s="17"/>
      <c r="J27" s="17"/>
    </row>
    <row r="28" spans="1:10" x14ac:dyDescent="0.25">
      <c r="A28" s="11"/>
      <c r="B28" s="17"/>
      <c r="C28" s="30"/>
      <c r="D28" s="17"/>
      <c r="E28" s="17"/>
      <c r="F28" s="25"/>
      <c r="G28" s="25">
        <f t="shared" si="1"/>
        <v>0</v>
      </c>
      <c r="H28" s="17"/>
      <c r="I28" s="17"/>
      <c r="J28" s="17"/>
    </row>
    <row r="29" spans="1:10" x14ac:dyDescent="0.25">
      <c r="A29" s="11"/>
      <c r="B29" s="17"/>
      <c r="C29" s="30"/>
      <c r="D29" s="17"/>
      <c r="E29" s="17"/>
      <c r="F29" s="25"/>
      <c r="G29" s="25">
        <f t="shared" si="1"/>
        <v>0</v>
      </c>
      <c r="H29" s="17"/>
      <c r="I29" s="17"/>
      <c r="J29" s="17"/>
    </row>
    <row r="30" spans="1:10" x14ac:dyDescent="0.25">
      <c r="A30" s="11"/>
      <c r="B30" s="17"/>
      <c r="C30" s="30"/>
      <c r="D30" s="17"/>
      <c r="E30" s="17"/>
      <c r="F30" s="25"/>
      <c r="G30" s="25">
        <f t="shared" si="1"/>
        <v>0</v>
      </c>
      <c r="H30" s="17"/>
      <c r="I30" s="17"/>
      <c r="J30" s="17"/>
    </row>
    <row r="31" spans="1:10" x14ac:dyDescent="0.25">
      <c r="A31" s="11"/>
      <c r="B31" s="17"/>
      <c r="C31" s="30"/>
      <c r="D31" s="17"/>
      <c r="E31" s="17"/>
      <c r="F31" s="25"/>
      <c r="G31" s="25">
        <f t="shared" si="1"/>
        <v>0</v>
      </c>
      <c r="H31" s="17"/>
      <c r="I31" s="17"/>
      <c r="J31" s="17"/>
    </row>
    <row r="32" spans="1:10" x14ac:dyDescent="0.25">
      <c r="A32" s="11"/>
      <c r="B32" s="17"/>
      <c r="C32" s="30"/>
      <c r="D32" s="17"/>
      <c r="E32" s="17"/>
      <c r="F32" s="25"/>
      <c r="G32" s="25">
        <f t="shared" si="1"/>
        <v>0</v>
      </c>
      <c r="H32" s="17"/>
      <c r="I32" s="17"/>
      <c r="J32" s="17"/>
    </row>
    <row r="33" spans="1:10" x14ac:dyDescent="0.25">
      <c r="A33" s="11"/>
      <c r="B33" s="17"/>
      <c r="C33" s="30"/>
      <c r="D33" s="17"/>
      <c r="E33" s="17"/>
      <c r="F33" s="25"/>
      <c r="G33" s="25">
        <f t="shared" si="1"/>
        <v>0</v>
      </c>
      <c r="H33" s="17"/>
      <c r="I33" s="17"/>
      <c r="J33" s="17"/>
    </row>
    <row r="34" spans="1:10" x14ac:dyDescent="0.25">
      <c r="A34" s="11"/>
      <c r="B34" s="17"/>
      <c r="C34" s="30"/>
      <c r="D34" s="17"/>
      <c r="E34" s="17"/>
      <c r="F34" s="25"/>
      <c r="G34" s="25">
        <f t="shared" si="1"/>
        <v>0</v>
      </c>
      <c r="H34" s="17"/>
      <c r="I34" s="17"/>
      <c r="J34" s="17"/>
    </row>
    <row r="35" spans="1:10" x14ac:dyDescent="0.25">
      <c r="A35" s="11"/>
      <c r="B35" s="17"/>
      <c r="C35" s="30"/>
      <c r="D35" s="17"/>
      <c r="E35" s="17"/>
      <c r="F35" s="25"/>
      <c r="G35" s="25">
        <f t="shared" si="1"/>
        <v>0</v>
      </c>
      <c r="H35" s="17"/>
      <c r="I35" s="17"/>
      <c r="J35" s="17"/>
    </row>
    <row r="36" spans="1:10" x14ac:dyDescent="0.25">
      <c r="A36" s="11"/>
      <c r="B36" s="17"/>
      <c r="C36" s="30"/>
      <c r="D36" s="17"/>
      <c r="E36" s="17"/>
      <c r="F36" s="25"/>
      <c r="G36" s="25">
        <f t="shared" si="1"/>
        <v>0</v>
      </c>
      <c r="H36" s="17"/>
      <c r="I36" s="17"/>
      <c r="J36" s="17"/>
    </row>
    <row r="37" spans="1:10" x14ac:dyDescent="0.25">
      <c r="A37" s="11"/>
      <c r="B37" s="17"/>
      <c r="C37" s="30"/>
      <c r="D37" s="17"/>
      <c r="E37" s="17"/>
      <c r="F37" s="25"/>
      <c r="G37" s="25">
        <f t="shared" si="1"/>
        <v>0</v>
      </c>
      <c r="H37" s="17"/>
      <c r="I37" s="17"/>
      <c r="J37" s="17"/>
    </row>
    <row r="38" spans="1:10" x14ac:dyDescent="0.25">
      <c r="A38" s="11"/>
      <c r="B38" s="17"/>
      <c r="C38" s="30"/>
      <c r="D38" s="17"/>
      <c r="E38" s="17"/>
      <c r="F38" s="25"/>
      <c r="G38" s="25">
        <f t="shared" si="1"/>
        <v>0</v>
      </c>
      <c r="H38" s="17"/>
      <c r="I38" s="17"/>
      <c r="J38" s="17"/>
    </row>
    <row r="39" spans="1:10" x14ac:dyDescent="0.25">
      <c r="A39" s="11"/>
      <c r="B39" s="17"/>
      <c r="C39" s="30"/>
      <c r="D39" s="17"/>
      <c r="E39" s="17"/>
      <c r="F39" s="25"/>
      <c r="G39" s="25">
        <f t="shared" si="1"/>
        <v>0</v>
      </c>
      <c r="H39" s="17"/>
      <c r="I39" s="17"/>
      <c r="J39" s="17"/>
    </row>
    <row r="40" spans="1:10" x14ac:dyDescent="0.25">
      <c r="A40" s="11"/>
      <c r="B40" s="17"/>
      <c r="C40" s="30"/>
      <c r="D40" s="17"/>
      <c r="E40" s="17"/>
      <c r="F40" s="25"/>
      <c r="G40" s="25">
        <f t="shared" si="1"/>
        <v>0</v>
      </c>
      <c r="H40" s="17"/>
      <c r="I40" s="17"/>
      <c r="J40" s="17"/>
    </row>
    <row r="41" spans="1:10" x14ac:dyDescent="0.25">
      <c r="A41" s="11"/>
      <c r="B41" s="17"/>
      <c r="C41" s="30"/>
      <c r="D41" s="17"/>
      <c r="E41" s="17"/>
      <c r="F41" s="25"/>
      <c r="G41" s="25">
        <f t="shared" si="1"/>
        <v>0</v>
      </c>
      <c r="H41" s="17"/>
      <c r="I41" s="17"/>
      <c r="J41" s="17"/>
    </row>
    <row r="42" spans="1:10" x14ac:dyDescent="0.25">
      <c r="A42" s="11"/>
      <c r="B42" s="17"/>
      <c r="C42" s="30"/>
      <c r="D42" s="17"/>
      <c r="E42" s="17"/>
      <c r="F42" s="25"/>
      <c r="G42" s="25">
        <f t="shared" si="1"/>
        <v>0</v>
      </c>
      <c r="H42" s="17"/>
      <c r="I42" s="17"/>
      <c r="J42" s="17"/>
    </row>
    <row r="43" spans="1:10" x14ac:dyDescent="0.25">
      <c r="A43" s="11"/>
      <c r="B43" s="17"/>
      <c r="C43" s="30"/>
      <c r="D43" s="17"/>
      <c r="E43" s="17"/>
      <c r="F43" s="25"/>
      <c r="G43" s="25">
        <f t="shared" si="1"/>
        <v>0</v>
      </c>
      <c r="H43" s="17"/>
      <c r="I43" s="17"/>
      <c r="J43" s="17"/>
    </row>
    <row r="44" spans="1:10" x14ac:dyDescent="0.25">
      <c r="A44" s="11"/>
      <c r="B44" s="17"/>
      <c r="C44" s="30"/>
      <c r="D44" s="17"/>
      <c r="E44" s="17"/>
      <c r="F44" s="25"/>
      <c r="G44" s="25">
        <f t="shared" si="1"/>
        <v>0</v>
      </c>
      <c r="H44" s="17"/>
      <c r="I44" s="17"/>
      <c r="J44" s="17"/>
    </row>
    <row r="45" spans="1:10" x14ac:dyDescent="0.25">
      <c r="A45" s="11"/>
      <c r="B45" s="17"/>
      <c r="C45" s="30"/>
      <c r="D45" s="17"/>
      <c r="E45" s="17"/>
      <c r="F45" s="25"/>
      <c r="G45" s="25">
        <f t="shared" si="1"/>
        <v>0</v>
      </c>
      <c r="H45" s="17"/>
      <c r="I45" s="17"/>
      <c r="J45" s="17"/>
    </row>
    <row r="46" spans="1:10" x14ac:dyDescent="0.25">
      <c r="A46" s="11"/>
      <c r="B46" s="17"/>
      <c r="C46" s="30"/>
      <c r="D46" s="17"/>
      <c r="E46" s="17"/>
      <c r="F46" s="25"/>
      <c r="G46" s="25">
        <f t="shared" si="1"/>
        <v>0</v>
      </c>
      <c r="H46" s="17"/>
      <c r="I46" s="17"/>
      <c r="J46" s="17"/>
    </row>
    <row r="47" spans="1:10" x14ac:dyDescent="0.25">
      <c r="A47" s="11"/>
      <c r="B47" s="17"/>
      <c r="C47" s="30"/>
      <c r="D47" s="17"/>
      <c r="E47" s="17"/>
      <c r="F47" s="25"/>
      <c r="G47" s="25">
        <f t="shared" si="1"/>
        <v>0</v>
      </c>
      <c r="H47" s="17"/>
      <c r="I47" s="17"/>
      <c r="J47" s="17"/>
    </row>
    <row r="48" spans="1:10" x14ac:dyDescent="0.25">
      <c r="A48" s="11"/>
      <c r="B48" s="17"/>
      <c r="C48" s="30"/>
      <c r="D48" s="17"/>
      <c r="E48" s="17"/>
      <c r="F48" s="25"/>
      <c r="G48" s="25">
        <f t="shared" si="1"/>
        <v>0</v>
      </c>
      <c r="H48" s="17"/>
      <c r="I48" s="17"/>
      <c r="J48" s="17"/>
    </row>
    <row r="49" spans="1:10" x14ac:dyDescent="0.25">
      <c r="A49" s="11"/>
      <c r="B49" s="17"/>
      <c r="C49" s="30"/>
      <c r="D49" s="17"/>
      <c r="E49" s="17"/>
      <c r="F49" s="25"/>
      <c r="G49" s="25">
        <f t="shared" si="1"/>
        <v>0</v>
      </c>
      <c r="H49" s="17"/>
      <c r="I49" s="17"/>
      <c r="J49" s="17"/>
    </row>
    <row r="50" spans="1:10" x14ac:dyDescent="0.25">
      <c r="A50" s="11"/>
      <c r="B50" s="17"/>
      <c r="C50" s="30"/>
      <c r="D50" s="17"/>
      <c r="E50" s="17"/>
      <c r="F50" s="25"/>
      <c r="G50" s="25">
        <f t="shared" si="1"/>
        <v>0</v>
      </c>
      <c r="H50" s="17"/>
      <c r="I50" s="17"/>
      <c r="J50" s="17"/>
    </row>
    <row r="51" spans="1:10" x14ac:dyDescent="0.25">
      <c r="A51" s="11"/>
      <c r="B51" s="17"/>
      <c r="C51" s="30"/>
      <c r="D51" s="17"/>
      <c r="E51" s="17"/>
      <c r="F51" s="25"/>
      <c r="G51" s="25">
        <f t="shared" si="1"/>
        <v>0</v>
      </c>
      <c r="H51" s="17"/>
      <c r="I51" s="17"/>
      <c r="J51" s="17"/>
    </row>
    <row r="52" spans="1:10" x14ac:dyDescent="0.25">
      <c r="A52" s="11"/>
      <c r="B52" s="17"/>
      <c r="C52" s="30"/>
      <c r="D52" s="17"/>
      <c r="E52" s="17"/>
      <c r="F52" s="25"/>
      <c r="G52" s="25">
        <f t="shared" si="1"/>
        <v>0</v>
      </c>
      <c r="H52" s="17"/>
      <c r="I52" s="17"/>
      <c r="J52" s="17"/>
    </row>
    <row r="53" spans="1:10" x14ac:dyDescent="0.25">
      <c r="A53" s="11"/>
      <c r="B53" s="17"/>
      <c r="C53" s="30"/>
      <c r="D53" s="17"/>
      <c r="E53" s="17"/>
      <c r="F53" s="25"/>
      <c r="G53" s="25">
        <f t="shared" si="1"/>
        <v>0</v>
      </c>
      <c r="H53" s="17"/>
      <c r="I53" s="17"/>
      <c r="J53" s="17"/>
    </row>
    <row r="54" spans="1:10" x14ac:dyDescent="0.25">
      <c r="A54" s="11"/>
      <c r="B54" s="17"/>
      <c r="C54" s="30"/>
      <c r="D54" s="17"/>
      <c r="E54" s="17"/>
      <c r="F54" s="25"/>
      <c r="G54" s="25">
        <f t="shared" si="1"/>
        <v>0</v>
      </c>
      <c r="H54" s="17"/>
      <c r="I54" s="17"/>
      <c r="J54" s="17"/>
    </row>
    <row r="55" spans="1:10" x14ac:dyDescent="0.25">
      <c r="A55" s="11"/>
      <c r="B55" s="17"/>
      <c r="C55" s="30"/>
      <c r="D55" s="17"/>
      <c r="E55" s="17"/>
      <c r="F55" s="25"/>
      <c r="G55" s="25">
        <f t="shared" si="1"/>
        <v>0</v>
      </c>
      <c r="H55" s="17"/>
      <c r="I55" s="17"/>
      <c r="J55" s="17"/>
    </row>
    <row r="56" spans="1:10" x14ac:dyDescent="0.25">
      <c r="A56" s="11"/>
      <c r="B56" s="17"/>
      <c r="C56" s="30"/>
      <c r="D56" s="17"/>
      <c r="E56" s="17"/>
      <c r="F56" s="25"/>
      <c r="G56" s="25">
        <f t="shared" si="1"/>
        <v>0</v>
      </c>
      <c r="H56" s="17"/>
      <c r="I56" s="17"/>
      <c r="J56" s="17"/>
    </row>
    <row r="57" spans="1:10" x14ac:dyDescent="0.25">
      <c r="A57" s="11"/>
      <c r="B57" s="17"/>
      <c r="C57" s="30"/>
      <c r="D57" s="17"/>
      <c r="E57" s="17"/>
      <c r="F57" s="25"/>
      <c r="G57" s="25">
        <f t="shared" si="1"/>
        <v>0</v>
      </c>
      <c r="H57" s="17"/>
      <c r="I57" s="17"/>
      <c r="J57" s="17"/>
    </row>
    <row r="58" spans="1:10" x14ac:dyDescent="0.25">
      <c r="A58" s="11"/>
      <c r="B58" s="17"/>
      <c r="C58" s="30"/>
      <c r="D58" s="17"/>
      <c r="E58" s="17"/>
      <c r="F58" s="25"/>
      <c r="G58" s="25">
        <f t="shared" si="1"/>
        <v>0</v>
      </c>
      <c r="H58" s="17"/>
      <c r="I58" s="17"/>
      <c r="J58" s="17"/>
    </row>
    <row r="59" spans="1:10" x14ac:dyDescent="0.25">
      <c r="A59" s="11"/>
      <c r="B59" s="17"/>
      <c r="C59" s="30"/>
      <c r="D59" s="17"/>
      <c r="E59" s="17"/>
      <c r="F59" s="25"/>
      <c r="G59" s="25">
        <f t="shared" si="1"/>
        <v>0</v>
      </c>
      <c r="H59" s="17"/>
      <c r="I59" s="17"/>
      <c r="J59" s="17"/>
    </row>
    <row r="60" spans="1:10" x14ac:dyDescent="0.25">
      <c r="A60" s="11"/>
      <c r="B60" s="17"/>
      <c r="C60" s="30"/>
      <c r="D60" s="17"/>
      <c r="E60" s="17"/>
      <c r="F60" s="25"/>
      <c r="G60" s="25">
        <f t="shared" si="1"/>
        <v>0</v>
      </c>
      <c r="H60" s="17"/>
      <c r="I60" s="17"/>
      <c r="J60" s="17"/>
    </row>
    <row r="61" spans="1:10" x14ac:dyDescent="0.25">
      <c r="A61" s="11"/>
      <c r="B61" s="17"/>
      <c r="C61" s="30"/>
      <c r="D61" s="17"/>
      <c r="E61" s="17"/>
      <c r="F61" s="25"/>
      <c r="G61" s="25">
        <f t="shared" si="1"/>
        <v>0</v>
      </c>
      <c r="H61" s="17"/>
      <c r="I61" s="17"/>
      <c r="J61" s="17"/>
    </row>
    <row r="62" spans="1:10" x14ac:dyDescent="0.25">
      <c r="A62" s="11"/>
      <c r="B62" s="17"/>
      <c r="C62" s="30"/>
      <c r="D62" s="17"/>
      <c r="E62" s="17"/>
      <c r="F62" s="25"/>
      <c r="G62" s="25">
        <f t="shared" si="1"/>
        <v>0</v>
      </c>
      <c r="H62" s="17"/>
      <c r="I62" s="17"/>
      <c r="J62" s="17"/>
    </row>
    <row r="63" spans="1:10" x14ac:dyDescent="0.25">
      <c r="A63" s="11"/>
      <c r="B63" s="17"/>
      <c r="C63" s="30"/>
      <c r="D63" s="17"/>
      <c r="E63" s="17"/>
      <c r="F63" s="25"/>
      <c r="G63" s="25">
        <f t="shared" si="1"/>
        <v>0</v>
      </c>
      <c r="H63" s="17"/>
      <c r="I63" s="17"/>
      <c r="J63" s="17"/>
    </row>
    <row r="64" spans="1:10" x14ac:dyDescent="0.25">
      <c r="A64" s="11"/>
      <c r="B64" s="17"/>
      <c r="C64" s="30"/>
      <c r="D64" s="17"/>
      <c r="E64" s="17"/>
      <c r="F64" s="25"/>
      <c r="G64" s="25">
        <f t="shared" si="1"/>
        <v>0</v>
      </c>
      <c r="H64" s="17"/>
      <c r="I64" s="17"/>
      <c r="J64" s="17"/>
    </row>
    <row r="65" spans="1:10" x14ac:dyDescent="0.25">
      <c r="A65" s="11"/>
      <c r="B65" s="17"/>
      <c r="C65" s="30"/>
      <c r="D65" s="17"/>
      <c r="E65" s="17"/>
      <c r="F65" s="25"/>
      <c r="G65" s="25">
        <f t="shared" si="1"/>
        <v>0</v>
      </c>
      <c r="H65" s="17"/>
      <c r="I65" s="17"/>
      <c r="J65" s="17"/>
    </row>
    <row r="66" spans="1:10" x14ac:dyDescent="0.25">
      <c r="A66" s="11"/>
      <c r="B66" s="17"/>
      <c r="C66" s="30"/>
      <c r="D66" s="17"/>
      <c r="E66" s="17"/>
      <c r="F66" s="25"/>
      <c r="G66" s="25">
        <f t="shared" si="1"/>
        <v>0</v>
      </c>
      <c r="H66" s="17"/>
      <c r="I66" s="17"/>
      <c r="J66" s="17"/>
    </row>
    <row r="67" spans="1:10" x14ac:dyDescent="0.25">
      <c r="A67" s="11"/>
      <c r="B67" s="17"/>
      <c r="C67" s="30"/>
      <c r="D67" s="17"/>
      <c r="E67" s="17"/>
      <c r="F67" s="25"/>
      <c r="G67" s="25">
        <f t="shared" si="1"/>
        <v>0</v>
      </c>
      <c r="H67" s="17"/>
      <c r="I67" s="17"/>
      <c r="J67" s="17"/>
    </row>
    <row r="68" spans="1:10" x14ac:dyDescent="0.25">
      <c r="A68" s="11"/>
      <c r="B68" s="17"/>
      <c r="C68" s="30"/>
      <c r="D68" s="17"/>
      <c r="E68" s="17"/>
      <c r="F68" s="25"/>
      <c r="G68" s="25">
        <f t="shared" si="1"/>
        <v>0</v>
      </c>
      <c r="H68" s="17"/>
      <c r="I68" s="17"/>
      <c r="J68" s="17"/>
    </row>
    <row r="69" spans="1:10" x14ac:dyDescent="0.25">
      <c r="A69" s="11"/>
      <c r="B69" s="17"/>
      <c r="C69" s="30"/>
      <c r="D69" s="17"/>
      <c r="E69" s="17"/>
      <c r="F69" s="25"/>
      <c r="G69" s="25">
        <f t="shared" si="1"/>
        <v>0</v>
      </c>
      <c r="H69" s="17"/>
      <c r="I69" s="17"/>
      <c r="J69" s="17"/>
    </row>
    <row r="70" spans="1:10" x14ac:dyDescent="0.25">
      <c r="A70" s="11"/>
      <c r="B70" s="17"/>
      <c r="C70" s="30"/>
      <c r="D70" s="17"/>
      <c r="E70" s="17"/>
      <c r="F70" s="25"/>
      <c r="G70" s="25">
        <f t="shared" si="1"/>
        <v>0</v>
      </c>
      <c r="H70" s="17"/>
      <c r="I70" s="17"/>
      <c r="J70" s="17"/>
    </row>
    <row r="71" spans="1:10" x14ac:dyDescent="0.25">
      <c r="A71" s="11"/>
      <c r="B71" s="17"/>
      <c r="C71" s="30"/>
      <c r="D71" s="17"/>
      <c r="E71" s="17"/>
      <c r="F71" s="25"/>
      <c r="G71" s="25">
        <f t="shared" si="1"/>
        <v>0</v>
      </c>
      <c r="H71" s="17"/>
      <c r="I71" s="17"/>
      <c r="J71" s="17"/>
    </row>
    <row r="72" spans="1:10" x14ac:dyDescent="0.25">
      <c r="A72" s="11"/>
      <c r="B72" s="17"/>
      <c r="C72" s="30"/>
      <c r="D72" s="17"/>
      <c r="E72" s="17"/>
      <c r="F72" s="25"/>
      <c r="G72" s="25">
        <f t="shared" si="1"/>
        <v>0</v>
      </c>
      <c r="H72" s="17"/>
      <c r="I72" s="17"/>
      <c r="J72" s="17"/>
    </row>
    <row r="73" spans="1:10" x14ac:dyDescent="0.25">
      <c r="A73" s="11"/>
      <c r="B73" s="17"/>
      <c r="C73" s="30"/>
      <c r="D73" s="17"/>
      <c r="E73" s="17"/>
      <c r="F73" s="25"/>
      <c r="G73" s="25">
        <f t="shared" si="1"/>
        <v>0</v>
      </c>
      <c r="H73" s="17"/>
      <c r="I73" s="17"/>
      <c r="J73" s="17"/>
    </row>
    <row r="74" spans="1:10" x14ac:dyDescent="0.25">
      <c r="A74" s="11"/>
      <c r="B74" s="17"/>
      <c r="C74" s="30"/>
      <c r="D74" s="17"/>
      <c r="E74" s="17"/>
      <c r="F74" s="25"/>
      <c r="G74" s="25">
        <f t="shared" si="1"/>
        <v>0</v>
      </c>
      <c r="H74" s="17"/>
      <c r="I74" s="17"/>
      <c r="J74" s="17"/>
    </row>
    <row r="75" spans="1:10" x14ac:dyDescent="0.25">
      <c r="A75" s="11"/>
      <c r="B75" s="17"/>
      <c r="C75" s="30"/>
      <c r="D75" s="17"/>
      <c r="E75" s="17"/>
      <c r="F75" s="25"/>
      <c r="G75" s="25">
        <f t="shared" si="1"/>
        <v>0</v>
      </c>
      <c r="H75" s="17"/>
      <c r="I75" s="17"/>
      <c r="J75" s="17"/>
    </row>
    <row r="76" spans="1:10" x14ac:dyDescent="0.25">
      <c r="A76" s="11"/>
      <c r="B76" s="17"/>
      <c r="C76" s="30"/>
      <c r="D76" s="17"/>
      <c r="E76" s="17"/>
      <c r="F76" s="25"/>
      <c r="G76" s="25">
        <f t="shared" si="1"/>
        <v>0</v>
      </c>
      <c r="H76" s="17"/>
      <c r="I76" s="17"/>
      <c r="J76" s="17"/>
    </row>
    <row r="77" spans="1:10" x14ac:dyDescent="0.25">
      <c r="A77" s="11"/>
      <c r="B77" s="17"/>
      <c r="C77" s="30"/>
      <c r="D77" s="17"/>
      <c r="E77" s="17"/>
      <c r="F77" s="25"/>
      <c r="G77" s="25">
        <f t="shared" si="1"/>
        <v>0</v>
      </c>
      <c r="H77" s="17"/>
      <c r="I77" s="17"/>
      <c r="J77" s="17"/>
    </row>
    <row r="78" spans="1:10" x14ac:dyDescent="0.25">
      <c r="A78" s="11"/>
      <c r="B78" s="17"/>
      <c r="C78" s="30"/>
      <c r="D78" s="17"/>
      <c r="E78" s="17"/>
      <c r="F78" s="25"/>
      <c r="G78" s="25">
        <f t="shared" si="1"/>
        <v>0</v>
      </c>
      <c r="H78" s="17"/>
      <c r="I78" s="17"/>
      <c r="J78" s="17"/>
    </row>
    <row r="79" spans="1:10" x14ac:dyDescent="0.25">
      <c r="A79" s="11"/>
      <c r="B79" s="17"/>
      <c r="C79" s="30"/>
      <c r="D79" s="17"/>
      <c r="E79" s="17"/>
      <c r="F79" s="25"/>
      <c r="G79" s="25">
        <f t="shared" si="1"/>
        <v>0</v>
      </c>
      <c r="H79" s="17"/>
      <c r="I79" s="17"/>
      <c r="J79" s="17"/>
    </row>
    <row r="80" spans="1:10" x14ac:dyDescent="0.25">
      <c r="A80" s="11"/>
      <c r="B80" s="17"/>
      <c r="C80" s="30"/>
      <c r="D80" s="17"/>
      <c r="E80" s="17"/>
      <c r="F80" s="25"/>
      <c r="G80" s="25">
        <f t="shared" si="1"/>
        <v>0</v>
      </c>
      <c r="H80" s="17"/>
      <c r="I80" s="17"/>
      <c r="J80" s="17"/>
    </row>
    <row r="81" spans="1:10" x14ac:dyDescent="0.25">
      <c r="A81" s="11"/>
      <c r="B81" s="17"/>
      <c r="C81" s="30"/>
      <c r="D81" s="17"/>
      <c r="E81" s="17"/>
      <c r="F81" s="25"/>
      <c r="G81" s="25">
        <f t="shared" si="1"/>
        <v>0</v>
      </c>
      <c r="H81" s="17"/>
      <c r="I81" s="17"/>
      <c r="J81" s="17"/>
    </row>
    <row r="82" spans="1:10" x14ac:dyDescent="0.25">
      <c r="A82" s="11"/>
      <c r="B82" s="17"/>
      <c r="C82" s="30"/>
      <c r="D82" s="17"/>
      <c r="E82" s="17"/>
      <c r="F82" s="25"/>
      <c r="G82" s="25">
        <f t="shared" si="1"/>
        <v>0</v>
      </c>
      <c r="H82" s="17"/>
      <c r="I82" s="17"/>
      <c r="J82" s="17"/>
    </row>
    <row r="83" spans="1:10" x14ac:dyDescent="0.25">
      <c r="A83" s="11"/>
      <c r="B83" s="17"/>
      <c r="C83" s="30"/>
      <c r="D83" s="17"/>
      <c r="E83" s="17"/>
      <c r="F83" s="25"/>
      <c r="G83" s="25">
        <f t="shared" si="1"/>
        <v>0</v>
      </c>
      <c r="H83" s="17"/>
      <c r="I83" s="17"/>
      <c r="J83" s="17"/>
    </row>
    <row r="84" spans="1:10" x14ac:dyDescent="0.25">
      <c r="A84" s="11"/>
      <c r="B84" s="17"/>
      <c r="C84" s="30"/>
      <c r="D84" s="17"/>
      <c r="E84" s="17"/>
      <c r="F84" s="25"/>
      <c r="G84" s="25">
        <f t="shared" si="1"/>
        <v>0</v>
      </c>
      <c r="H84" s="17"/>
      <c r="I84" s="17"/>
      <c r="J84" s="17"/>
    </row>
    <row r="85" spans="1:10" x14ac:dyDescent="0.25">
      <c r="A85" s="11"/>
      <c r="B85" s="17"/>
      <c r="C85" s="30"/>
      <c r="D85" s="17"/>
      <c r="E85" s="17"/>
      <c r="F85" s="25"/>
      <c r="G85" s="25">
        <f t="shared" si="1"/>
        <v>0</v>
      </c>
      <c r="H85" s="17"/>
      <c r="I85" s="17"/>
      <c r="J85" s="17"/>
    </row>
    <row r="86" spans="1:10" x14ac:dyDescent="0.25">
      <c r="A86" s="11"/>
      <c r="B86" s="17"/>
      <c r="C86" s="30"/>
      <c r="D86" s="17"/>
      <c r="E86" s="17"/>
      <c r="F86" s="25"/>
      <c r="G86" s="25">
        <f t="shared" si="1"/>
        <v>0</v>
      </c>
      <c r="H86" s="17"/>
      <c r="I86" s="17"/>
      <c r="J86" s="17"/>
    </row>
    <row r="87" spans="1:10" x14ac:dyDescent="0.25">
      <c r="A87" s="11"/>
      <c r="B87" s="17"/>
      <c r="C87" s="30"/>
      <c r="D87" s="17"/>
      <c r="E87" s="17"/>
      <c r="F87" s="25"/>
      <c r="G87" s="25">
        <f t="shared" si="1"/>
        <v>0</v>
      </c>
      <c r="H87" s="17"/>
      <c r="I87" s="17"/>
      <c r="J87" s="17"/>
    </row>
    <row r="88" spans="1:10" x14ac:dyDescent="0.25">
      <c r="A88" s="11"/>
      <c r="B88" s="17"/>
      <c r="C88" s="30"/>
      <c r="D88" s="17"/>
      <c r="E88" s="17"/>
      <c r="F88" s="25"/>
      <c r="G88" s="25">
        <f t="shared" si="1"/>
        <v>0</v>
      </c>
      <c r="H88" s="17"/>
      <c r="I88" s="17"/>
      <c r="J88" s="17"/>
    </row>
    <row r="89" spans="1:10" x14ac:dyDescent="0.25">
      <c r="A89" s="11"/>
      <c r="B89" s="17"/>
      <c r="C89" s="30"/>
      <c r="D89" s="17"/>
      <c r="E89" s="17"/>
      <c r="F89" s="25"/>
      <c r="G89" s="25">
        <f t="shared" si="1"/>
        <v>0</v>
      </c>
      <c r="H89" s="17"/>
      <c r="I89" s="17"/>
      <c r="J89" s="17"/>
    </row>
    <row r="90" spans="1:10" x14ac:dyDescent="0.25">
      <c r="A90" s="11"/>
      <c r="B90" s="17"/>
      <c r="C90" s="30"/>
      <c r="D90" s="17"/>
      <c r="E90" s="17"/>
      <c r="F90" s="25"/>
      <c r="G90" s="25">
        <f t="shared" si="1"/>
        <v>0</v>
      </c>
      <c r="H90" s="17"/>
      <c r="I90" s="17"/>
      <c r="J90" s="17"/>
    </row>
    <row r="91" spans="1:10" x14ac:dyDescent="0.25">
      <c r="A91" s="11"/>
      <c r="B91" s="17"/>
      <c r="C91" s="30"/>
      <c r="D91" s="17"/>
      <c r="E91" s="17"/>
      <c r="F91" s="25"/>
      <c r="G91" s="25">
        <f t="shared" si="1"/>
        <v>0</v>
      </c>
      <c r="H91" s="17"/>
      <c r="I91" s="17"/>
      <c r="J91" s="17"/>
    </row>
    <row r="92" spans="1:10" x14ac:dyDescent="0.25">
      <c r="A92" s="11"/>
      <c r="B92" s="17"/>
      <c r="C92" s="30"/>
      <c r="D92" s="17"/>
      <c r="E92" s="17"/>
      <c r="F92" s="25"/>
      <c r="G92" s="25">
        <f t="shared" si="1"/>
        <v>0</v>
      </c>
      <c r="H92" s="17"/>
      <c r="I92" s="17"/>
      <c r="J92" s="17"/>
    </row>
    <row r="93" spans="1:10" x14ac:dyDescent="0.25">
      <c r="A93" s="11"/>
      <c r="B93" s="17"/>
      <c r="C93" s="30"/>
      <c r="D93" s="17"/>
      <c r="E93" s="17"/>
      <c r="F93" s="25"/>
      <c r="G93" s="25">
        <f t="shared" si="1"/>
        <v>0</v>
      </c>
      <c r="H93" s="17"/>
      <c r="I93" s="17"/>
      <c r="J93" s="17"/>
    </row>
    <row r="94" spans="1:10" x14ac:dyDescent="0.25">
      <c r="A94" s="11"/>
      <c r="B94" s="17"/>
      <c r="C94" s="30"/>
      <c r="D94" s="17"/>
      <c r="E94" s="17"/>
      <c r="F94" s="25"/>
      <c r="G94" s="25">
        <f t="shared" si="1"/>
        <v>0</v>
      </c>
      <c r="H94" s="17"/>
      <c r="I94" s="17"/>
      <c r="J94" s="17"/>
    </row>
    <row r="95" spans="1:10" x14ac:dyDescent="0.25">
      <c r="A95" s="11"/>
      <c r="B95" s="17"/>
      <c r="C95" s="30"/>
      <c r="D95" s="17"/>
      <c r="E95" s="17"/>
      <c r="F95" s="25"/>
      <c r="G95" s="25">
        <f t="shared" si="1"/>
        <v>0</v>
      </c>
      <c r="H95" s="17"/>
      <c r="I95" s="17"/>
      <c r="J95" s="17"/>
    </row>
    <row r="96" spans="1:10" x14ac:dyDescent="0.25">
      <c r="A96" s="11"/>
      <c r="B96" s="17"/>
      <c r="C96" s="30"/>
      <c r="D96" s="17"/>
      <c r="E96" s="17"/>
      <c r="F96" s="25"/>
      <c r="G96" s="25">
        <f t="shared" si="1"/>
        <v>0</v>
      </c>
      <c r="H96" s="17"/>
      <c r="I96" s="17"/>
      <c r="J96" s="17"/>
    </row>
    <row r="97" spans="1:10" x14ac:dyDescent="0.25">
      <c r="A97" s="11"/>
      <c r="B97" s="17"/>
      <c r="C97" s="30"/>
      <c r="D97" s="17"/>
      <c r="E97" s="17"/>
      <c r="F97" s="25"/>
      <c r="G97" s="25">
        <f t="shared" si="1"/>
        <v>0</v>
      </c>
      <c r="H97" s="17"/>
      <c r="I97" s="17"/>
      <c r="J97" s="17"/>
    </row>
    <row r="98" spans="1:10" x14ac:dyDescent="0.25">
      <c r="A98" s="11"/>
      <c r="B98" s="17"/>
      <c r="C98" s="30"/>
      <c r="D98" s="17"/>
      <c r="E98" s="17"/>
      <c r="F98" s="25"/>
      <c r="G98" s="25">
        <f t="shared" si="1"/>
        <v>0</v>
      </c>
      <c r="H98" s="17"/>
      <c r="I98" s="17"/>
      <c r="J98" s="17"/>
    </row>
    <row r="99" spans="1:10" x14ac:dyDescent="0.25">
      <c r="A99" s="11"/>
      <c r="B99" s="17"/>
      <c r="C99" s="30"/>
      <c r="D99" s="17"/>
      <c r="E99" s="17"/>
      <c r="F99" s="25"/>
      <c r="G99" s="25">
        <f t="shared" si="1"/>
        <v>0</v>
      </c>
      <c r="H99" s="17"/>
      <c r="I99" s="17"/>
      <c r="J99" s="17"/>
    </row>
    <row r="100" spans="1:10" x14ac:dyDescent="0.25">
      <c r="A100" s="11"/>
      <c r="B100" s="17"/>
      <c r="C100" s="30"/>
      <c r="D100" s="17"/>
      <c r="E100" s="17"/>
      <c r="F100" s="25"/>
      <c r="G100" s="25">
        <f t="shared" si="1"/>
        <v>0</v>
      </c>
      <c r="H100" s="17"/>
      <c r="I100" s="17"/>
      <c r="J100" s="17"/>
    </row>
    <row r="101" spans="1:10" x14ac:dyDescent="0.25">
      <c r="A101" s="11"/>
      <c r="B101" s="17"/>
      <c r="C101" s="30"/>
      <c r="D101" s="17"/>
      <c r="E101" s="17"/>
      <c r="F101" s="25"/>
      <c r="G101" s="25">
        <f t="shared" si="1"/>
        <v>0</v>
      </c>
      <c r="H101" s="17"/>
      <c r="I101" s="17"/>
      <c r="J101" s="17"/>
    </row>
    <row r="102" spans="1:10" x14ac:dyDescent="0.25">
      <c r="A102" s="11"/>
      <c r="B102" s="17"/>
      <c r="C102" s="30"/>
      <c r="D102" s="17"/>
      <c r="E102" s="17"/>
      <c r="F102" s="25"/>
      <c r="G102" s="25">
        <f t="shared" si="1"/>
        <v>0</v>
      </c>
      <c r="H102" s="17"/>
      <c r="I102" s="17"/>
      <c r="J102" s="17"/>
    </row>
    <row r="103" spans="1:10" x14ac:dyDescent="0.25">
      <c r="A103" s="11"/>
      <c r="B103" s="17"/>
      <c r="C103" s="30"/>
      <c r="D103" s="17"/>
      <c r="E103" s="17"/>
      <c r="F103" s="25"/>
      <c r="G103" s="25">
        <f t="shared" si="1"/>
        <v>0</v>
      </c>
      <c r="H103" s="17"/>
      <c r="I103" s="17"/>
      <c r="J103" s="17"/>
    </row>
    <row r="104" spans="1:10" x14ac:dyDescent="0.25">
      <c r="A104" s="11"/>
      <c r="B104" s="17"/>
      <c r="C104" s="30"/>
      <c r="D104" s="17"/>
      <c r="E104" s="17"/>
      <c r="F104" s="25"/>
      <c r="G104" s="25">
        <f t="shared" si="1"/>
        <v>0</v>
      </c>
      <c r="H104" s="17"/>
      <c r="I104" s="17"/>
      <c r="J104" s="17"/>
    </row>
    <row r="105" spans="1:10" x14ac:dyDescent="0.25">
      <c r="A105" s="11"/>
      <c r="B105" s="17"/>
      <c r="C105" s="30"/>
      <c r="D105" s="17"/>
      <c r="E105" s="17"/>
      <c r="F105" s="25"/>
      <c r="G105" s="25">
        <f t="shared" si="1"/>
        <v>0</v>
      </c>
      <c r="H105" s="17"/>
      <c r="I105" s="17"/>
      <c r="J105" s="17"/>
    </row>
    <row r="106" spans="1:10" x14ac:dyDescent="0.25">
      <c r="A106" s="11"/>
      <c r="B106" s="17"/>
      <c r="C106" s="30"/>
      <c r="D106" s="17"/>
      <c r="E106" s="17"/>
      <c r="F106" s="25"/>
      <c r="G106" s="25">
        <f t="shared" si="1"/>
        <v>0</v>
      </c>
      <c r="H106" s="17"/>
      <c r="I106" s="17"/>
      <c r="J106" s="17"/>
    </row>
    <row r="107" spans="1:10" x14ac:dyDescent="0.25">
      <c r="A107" s="11"/>
      <c r="B107" s="17"/>
      <c r="C107" s="30"/>
      <c r="D107" s="17"/>
      <c r="E107" s="17"/>
      <c r="F107" s="25"/>
      <c r="G107" s="25">
        <f t="shared" si="1"/>
        <v>0</v>
      </c>
      <c r="H107" s="17"/>
      <c r="I107" s="17"/>
      <c r="J107" s="17"/>
    </row>
    <row r="108" spans="1:10" x14ac:dyDescent="0.25">
      <c r="A108" s="11"/>
      <c r="B108" s="17"/>
      <c r="C108" s="30"/>
      <c r="D108" s="17"/>
      <c r="E108" s="17"/>
      <c r="F108" s="25"/>
      <c r="G108" s="25">
        <f t="shared" si="1"/>
        <v>0</v>
      </c>
      <c r="H108" s="17"/>
      <c r="I108" s="17"/>
      <c r="J108" s="17"/>
    </row>
    <row r="109" spans="1:10" x14ac:dyDescent="0.25">
      <c r="A109" s="11"/>
      <c r="B109" s="17"/>
      <c r="C109" s="30"/>
      <c r="D109" s="17"/>
      <c r="E109" s="17"/>
      <c r="F109" s="25"/>
      <c r="G109" s="25">
        <f t="shared" si="1"/>
        <v>0</v>
      </c>
      <c r="H109" s="17"/>
      <c r="I109" s="17"/>
      <c r="J109" s="17"/>
    </row>
    <row r="110" spans="1:10" x14ac:dyDescent="0.25">
      <c r="A110" s="11"/>
      <c r="B110" s="17"/>
      <c r="C110" s="30"/>
      <c r="D110" s="17"/>
      <c r="E110" s="17"/>
      <c r="F110" s="25"/>
      <c r="G110" s="25">
        <f t="shared" si="1"/>
        <v>0</v>
      </c>
      <c r="H110" s="17"/>
      <c r="I110" s="17"/>
      <c r="J110" s="17"/>
    </row>
    <row r="111" spans="1:10" x14ac:dyDescent="0.25">
      <c r="A111" s="11"/>
      <c r="B111" s="17"/>
      <c r="C111" s="30"/>
      <c r="D111" s="17"/>
      <c r="E111" s="17"/>
      <c r="F111" s="25"/>
      <c r="G111" s="25">
        <f t="shared" si="1"/>
        <v>0</v>
      </c>
      <c r="H111" s="17"/>
      <c r="I111" s="17"/>
      <c r="J111" s="17"/>
    </row>
    <row r="112" spans="1:10" x14ac:dyDescent="0.25">
      <c r="A112" s="11"/>
      <c r="B112" s="17"/>
      <c r="C112" s="30"/>
      <c r="D112" s="17"/>
      <c r="E112" s="17"/>
      <c r="F112" s="25"/>
      <c r="G112" s="25">
        <f t="shared" si="1"/>
        <v>0</v>
      </c>
      <c r="H112" s="17"/>
      <c r="I112" s="17"/>
      <c r="J112" s="17"/>
    </row>
    <row r="113" spans="1:10" x14ac:dyDescent="0.25">
      <c r="A113" s="11"/>
      <c r="B113" s="17"/>
      <c r="C113" s="30"/>
      <c r="D113" s="17"/>
      <c r="E113" s="17"/>
      <c r="F113" s="25"/>
      <c r="G113" s="25">
        <f t="shared" si="1"/>
        <v>0</v>
      </c>
      <c r="H113" s="17"/>
      <c r="I113" s="17"/>
      <c r="J113" s="17"/>
    </row>
    <row r="114" spans="1:10" x14ac:dyDescent="0.25">
      <c r="A114" s="11"/>
      <c r="B114" s="17"/>
      <c r="C114" s="30"/>
      <c r="D114" s="17"/>
      <c r="E114" s="17"/>
      <c r="F114" s="25"/>
      <c r="G114" s="25">
        <f t="shared" si="1"/>
        <v>0</v>
      </c>
      <c r="H114" s="17"/>
      <c r="I114" s="17"/>
      <c r="J114" s="17"/>
    </row>
    <row r="115" spans="1:10" x14ac:dyDescent="0.25">
      <c r="A115" s="11"/>
      <c r="B115" s="17"/>
      <c r="C115" s="30"/>
      <c r="D115" s="17"/>
      <c r="E115" s="17"/>
      <c r="F115" s="25"/>
      <c r="G115" s="25">
        <f t="shared" si="1"/>
        <v>0</v>
      </c>
      <c r="H115" s="17"/>
      <c r="I115" s="17"/>
      <c r="J115" s="17"/>
    </row>
    <row r="116" spans="1:10" x14ac:dyDescent="0.25">
      <c r="A116" s="11"/>
      <c r="B116" s="17"/>
      <c r="C116" s="30"/>
      <c r="D116" s="17"/>
      <c r="E116" s="17"/>
      <c r="F116" s="25"/>
      <c r="G116" s="25">
        <f t="shared" si="1"/>
        <v>0</v>
      </c>
      <c r="H116" s="17"/>
      <c r="I116" s="17"/>
      <c r="J116" s="17"/>
    </row>
    <row r="117" spans="1:10" x14ac:dyDescent="0.25">
      <c r="A117" s="11"/>
      <c r="B117" s="17"/>
      <c r="C117" s="30"/>
      <c r="D117" s="17"/>
      <c r="E117" s="17"/>
      <c r="F117" s="25"/>
      <c r="G117" s="25">
        <f t="shared" si="1"/>
        <v>0</v>
      </c>
      <c r="H117" s="17"/>
      <c r="I117" s="17"/>
      <c r="J117" s="17"/>
    </row>
    <row r="118" spans="1:10" x14ac:dyDescent="0.25">
      <c r="A118" s="11"/>
      <c r="B118" s="17"/>
      <c r="C118" s="30"/>
      <c r="D118" s="17"/>
      <c r="E118" s="17"/>
      <c r="F118" s="25"/>
      <c r="G118" s="25">
        <f t="shared" si="1"/>
        <v>0</v>
      </c>
      <c r="H118" s="17"/>
      <c r="I118" s="17"/>
      <c r="J118" s="17"/>
    </row>
    <row r="119" spans="1:10" x14ac:dyDescent="0.25">
      <c r="A119" s="11"/>
      <c r="B119" s="17"/>
      <c r="C119" s="30"/>
      <c r="D119" s="17"/>
      <c r="E119" s="17"/>
      <c r="F119" s="25"/>
      <c r="G119" s="25">
        <f t="shared" si="1"/>
        <v>0</v>
      </c>
      <c r="H119" s="17"/>
      <c r="I119" s="17"/>
      <c r="J119" s="17"/>
    </row>
    <row r="120" spans="1:10" x14ac:dyDescent="0.25">
      <c r="A120" s="11"/>
      <c r="B120" s="17"/>
      <c r="C120" s="30"/>
      <c r="D120" s="17"/>
      <c r="E120" s="17"/>
      <c r="F120" s="25"/>
      <c r="G120" s="25">
        <f t="shared" si="1"/>
        <v>0</v>
      </c>
      <c r="H120" s="17"/>
      <c r="I120" s="17"/>
      <c r="J120" s="17"/>
    </row>
    <row r="121" spans="1:10" x14ac:dyDescent="0.25">
      <c r="A121" s="11"/>
      <c r="B121" s="17"/>
      <c r="C121" s="30"/>
      <c r="D121" s="17"/>
      <c r="E121" s="17"/>
      <c r="F121" s="25"/>
      <c r="G121" s="25">
        <f t="shared" si="1"/>
        <v>0</v>
      </c>
      <c r="H121" s="17"/>
      <c r="I121" s="17"/>
      <c r="J121" s="17"/>
    </row>
    <row r="122" spans="1:10" x14ac:dyDescent="0.25">
      <c r="A122" s="11"/>
      <c r="B122" s="17"/>
      <c r="C122" s="30"/>
      <c r="D122" s="17"/>
      <c r="E122" s="17"/>
      <c r="F122" s="25"/>
      <c r="G122" s="25">
        <f t="shared" si="1"/>
        <v>0</v>
      </c>
      <c r="H122" s="17"/>
      <c r="I122" s="17"/>
      <c r="J122" s="17"/>
    </row>
    <row r="123" spans="1:10" x14ac:dyDescent="0.25">
      <c r="A123" s="11"/>
      <c r="B123" s="17"/>
      <c r="C123" s="30"/>
      <c r="D123" s="17"/>
      <c r="E123" s="17"/>
      <c r="F123" s="25"/>
      <c r="G123" s="25">
        <f t="shared" si="1"/>
        <v>0</v>
      </c>
      <c r="H123" s="17"/>
      <c r="I123" s="17"/>
      <c r="J123" s="17"/>
    </row>
    <row r="124" spans="1:10" x14ac:dyDescent="0.25">
      <c r="A124" s="11"/>
      <c r="B124" s="17"/>
      <c r="C124" s="30"/>
      <c r="D124" s="17"/>
      <c r="E124" s="17"/>
      <c r="F124" s="25"/>
      <c r="G124" s="25">
        <f t="shared" si="1"/>
        <v>0</v>
      </c>
      <c r="H124" s="17"/>
      <c r="I124" s="17"/>
      <c r="J124" s="17"/>
    </row>
    <row r="125" spans="1:10" x14ac:dyDescent="0.25">
      <c r="A125" s="11"/>
      <c r="B125" s="17"/>
      <c r="C125" s="30"/>
      <c r="D125" s="17"/>
      <c r="E125" s="17"/>
      <c r="F125" s="25"/>
      <c r="G125" s="25">
        <f t="shared" si="1"/>
        <v>0</v>
      </c>
      <c r="H125" s="17"/>
      <c r="I125" s="17"/>
      <c r="J125" s="17"/>
    </row>
    <row r="126" spans="1:10" x14ac:dyDescent="0.25">
      <c r="A126" s="11"/>
      <c r="B126" s="17"/>
      <c r="C126" s="30"/>
      <c r="D126" s="17"/>
      <c r="E126" s="17"/>
      <c r="F126" s="25"/>
      <c r="G126" s="25">
        <f t="shared" si="1"/>
        <v>0</v>
      </c>
      <c r="H126" s="17"/>
      <c r="I126" s="17"/>
      <c r="J126" s="17"/>
    </row>
    <row r="127" spans="1:10" x14ac:dyDescent="0.25">
      <c r="A127" s="11"/>
      <c r="B127" s="17"/>
      <c r="C127" s="30"/>
      <c r="D127" s="17"/>
      <c r="E127" s="17"/>
      <c r="F127" s="25"/>
      <c r="G127" s="25">
        <f t="shared" si="1"/>
        <v>0</v>
      </c>
      <c r="H127" s="17"/>
      <c r="I127" s="17"/>
      <c r="J127" s="17"/>
    </row>
    <row r="128" spans="1:10" x14ac:dyDescent="0.25">
      <c r="A128" s="11"/>
      <c r="B128" s="17"/>
      <c r="C128" s="30"/>
      <c r="D128" s="17"/>
      <c r="E128" s="17"/>
      <c r="F128" s="25"/>
      <c r="G128" s="25">
        <f t="shared" si="1"/>
        <v>0</v>
      </c>
      <c r="H128" s="17"/>
      <c r="I128" s="17"/>
      <c r="J128" s="17"/>
    </row>
    <row r="129" spans="1:10" x14ac:dyDescent="0.25">
      <c r="A129" s="11"/>
      <c r="B129" s="17"/>
      <c r="C129" s="30"/>
      <c r="D129" s="17"/>
      <c r="E129" s="17"/>
      <c r="F129" s="25"/>
      <c r="G129" s="25">
        <f t="shared" si="1"/>
        <v>0</v>
      </c>
      <c r="H129" s="17"/>
      <c r="I129" s="17"/>
      <c r="J129" s="17"/>
    </row>
    <row r="130" spans="1:10" x14ac:dyDescent="0.25">
      <c r="A130" s="11"/>
      <c r="B130" s="17"/>
      <c r="C130" s="30"/>
      <c r="D130" s="17"/>
      <c r="E130" s="17"/>
      <c r="F130" s="25"/>
      <c r="G130" s="25">
        <f t="shared" si="1"/>
        <v>0</v>
      </c>
      <c r="H130" s="17"/>
      <c r="I130" s="17"/>
      <c r="J130" s="17"/>
    </row>
    <row r="131" spans="1:10" x14ac:dyDescent="0.25">
      <c r="A131" s="11"/>
      <c r="B131" s="17"/>
      <c r="C131" s="30"/>
      <c r="D131" s="17"/>
      <c r="E131" s="17"/>
      <c r="F131" s="25"/>
      <c r="G131" s="25">
        <f t="shared" si="1"/>
        <v>0</v>
      </c>
      <c r="H131" s="17"/>
      <c r="I131" s="17"/>
      <c r="J131" s="17"/>
    </row>
    <row r="132" spans="1:10" x14ac:dyDescent="0.25">
      <c r="A132" s="11"/>
      <c r="B132" s="17"/>
      <c r="C132" s="30"/>
      <c r="D132" s="17"/>
      <c r="E132" s="17"/>
      <c r="F132" s="25"/>
      <c r="G132" s="25">
        <f t="shared" si="1"/>
        <v>0</v>
      </c>
      <c r="H132" s="17"/>
      <c r="I132" s="17"/>
      <c r="J132" s="17"/>
    </row>
    <row r="133" spans="1:10" x14ac:dyDescent="0.25">
      <c r="A133" s="11"/>
      <c r="B133" s="17"/>
      <c r="C133" s="30"/>
      <c r="D133" s="17"/>
      <c r="E133" s="17"/>
      <c r="F133" s="25"/>
      <c r="G133" s="25">
        <f t="shared" si="1"/>
        <v>0</v>
      </c>
      <c r="H133" s="17"/>
      <c r="I133" s="17"/>
      <c r="J133" s="17"/>
    </row>
    <row r="134" spans="1:10" x14ac:dyDescent="0.25">
      <c r="A134" s="11"/>
      <c r="B134" s="17"/>
      <c r="C134" s="30"/>
      <c r="D134" s="17"/>
      <c r="E134" s="17"/>
      <c r="F134" s="25"/>
      <c r="G134" s="25">
        <f t="shared" si="1"/>
        <v>0</v>
      </c>
      <c r="H134" s="17"/>
      <c r="I134" s="17"/>
      <c r="J134" s="17"/>
    </row>
    <row r="135" spans="1:10" x14ac:dyDescent="0.25">
      <c r="A135" s="11"/>
      <c r="B135" s="17"/>
      <c r="C135" s="30"/>
      <c r="D135" s="17"/>
      <c r="E135" s="17"/>
      <c r="F135" s="25"/>
      <c r="G135" s="25">
        <f t="shared" si="1"/>
        <v>0</v>
      </c>
      <c r="H135" s="17"/>
      <c r="I135" s="17"/>
      <c r="J135" s="17"/>
    </row>
    <row r="136" spans="1:10" x14ac:dyDescent="0.25">
      <c r="A136" s="11"/>
      <c r="B136" s="17"/>
      <c r="C136" s="30"/>
      <c r="D136" s="17"/>
      <c r="E136" s="17"/>
      <c r="F136" s="25"/>
      <c r="G136" s="25">
        <f t="shared" si="1"/>
        <v>0</v>
      </c>
      <c r="H136" s="17"/>
      <c r="I136" s="17"/>
      <c r="J136" s="17"/>
    </row>
    <row r="137" spans="1:10" x14ac:dyDescent="0.25">
      <c r="A137" s="11"/>
      <c r="B137" s="17"/>
      <c r="C137" s="30"/>
      <c r="D137" s="17"/>
      <c r="E137" s="17"/>
      <c r="F137" s="25"/>
      <c r="G137" s="25">
        <f t="shared" si="1"/>
        <v>0</v>
      </c>
      <c r="H137" s="17"/>
      <c r="I137" s="17"/>
      <c r="J137" s="17"/>
    </row>
    <row r="138" spans="1:10" x14ac:dyDescent="0.25">
      <c r="A138" s="11"/>
      <c r="B138" s="17"/>
      <c r="C138" s="30"/>
      <c r="D138" s="17"/>
      <c r="E138" s="17"/>
      <c r="F138" s="25"/>
      <c r="G138" s="25">
        <f t="shared" si="1"/>
        <v>0</v>
      </c>
      <c r="H138" s="17"/>
      <c r="I138" s="17"/>
      <c r="J138" s="17"/>
    </row>
    <row r="139" spans="1:10" x14ac:dyDescent="0.25">
      <c r="A139" s="11"/>
      <c r="B139" s="17"/>
      <c r="C139" s="30"/>
      <c r="D139" s="17"/>
      <c r="E139" s="17"/>
      <c r="F139" s="25"/>
      <c r="G139" s="25">
        <f t="shared" si="1"/>
        <v>0</v>
      </c>
      <c r="H139" s="17"/>
      <c r="I139" s="17"/>
      <c r="J139" s="17"/>
    </row>
    <row r="140" spans="1:10" x14ac:dyDescent="0.25">
      <c r="A140" s="11"/>
      <c r="B140" s="17"/>
      <c r="C140" s="30"/>
      <c r="D140" s="17"/>
      <c r="E140" s="17"/>
      <c r="F140" s="25"/>
      <c r="G140" s="25">
        <f t="shared" si="1"/>
        <v>0</v>
      </c>
      <c r="H140" s="17"/>
      <c r="I140" s="17"/>
      <c r="J140" s="17"/>
    </row>
    <row r="141" spans="1:10" x14ac:dyDescent="0.25">
      <c r="A141" s="11"/>
      <c r="B141" s="17"/>
      <c r="C141" s="30"/>
      <c r="D141" s="17"/>
      <c r="E141" s="17"/>
      <c r="F141" s="25"/>
      <c r="G141" s="25">
        <f t="shared" si="1"/>
        <v>0</v>
      </c>
      <c r="H141" s="17"/>
      <c r="I141" s="17"/>
      <c r="J141" s="17"/>
    </row>
    <row r="142" spans="1:10" x14ac:dyDescent="0.25">
      <c r="A142" s="11"/>
      <c r="B142" s="17"/>
      <c r="C142" s="30"/>
      <c r="D142" s="17"/>
      <c r="E142" s="17"/>
      <c r="F142" s="25"/>
      <c r="G142" s="25">
        <f t="shared" si="1"/>
        <v>0</v>
      </c>
      <c r="H142" s="17"/>
      <c r="I142" s="17"/>
      <c r="J142" s="17"/>
    </row>
    <row r="143" spans="1:10" x14ac:dyDescent="0.25">
      <c r="A143" s="11"/>
      <c r="B143" s="17"/>
      <c r="C143" s="30"/>
      <c r="D143" s="17"/>
      <c r="E143" s="17"/>
      <c r="F143" s="25"/>
      <c r="G143" s="25">
        <f t="shared" si="1"/>
        <v>0</v>
      </c>
      <c r="H143" s="17"/>
      <c r="I143" s="17"/>
      <c r="J143" s="17"/>
    </row>
    <row r="144" spans="1:10" x14ac:dyDescent="0.25">
      <c r="A144" s="11"/>
      <c r="B144" s="17"/>
      <c r="C144" s="30"/>
      <c r="D144" s="17"/>
      <c r="E144" s="17"/>
      <c r="F144" s="25"/>
      <c r="G144" s="25">
        <f t="shared" si="1"/>
        <v>0</v>
      </c>
      <c r="H144" s="17"/>
      <c r="I144" s="17"/>
      <c r="J144" s="17"/>
    </row>
    <row r="145" spans="1:10" x14ac:dyDescent="0.25">
      <c r="A145" s="11"/>
      <c r="B145" s="17"/>
      <c r="C145" s="30"/>
      <c r="D145" s="17"/>
      <c r="E145" s="17"/>
      <c r="F145" s="25"/>
      <c r="G145" s="25">
        <f t="shared" si="1"/>
        <v>0</v>
      </c>
      <c r="H145" s="17"/>
      <c r="I145" s="17"/>
      <c r="J145" s="17"/>
    </row>
    <row r="146" spans="1:10" x14ac:dyDescent="0.25">
      <c r="A146" s="11"/>
      <c r="B146" s="17"/>
      <c r="C146" s="30"/>
      <c r="D146" s="17"/>
      <c r="E146" s="17"/>
      <c r="F146" s="25"/>
      <c r="G146" s="25">
        <f t="shared" si="1"/>
        <v>0</v>
      </c>
      <c r="H146" s="17"/>
      <c r="I146" s="17"/>
      <c r="J146" s="17"/>
    </row>
    <row r="147" spans="1:10" x14ac:dyDescent="0.25">
      <c r="A147" s="11"/>
      <c r="B147" s="17"/>
      <c r="C147" s="30"/>
      <c r="D147" s="17"/>
      <c r="E147" s="17"/>
      <c r="F147" s="25"/>
      <c r="G147" s="25">
        <f t="shared" si="1"/>
        <v>0</v>
      </c>
      <c r="H147" s="17"/>
      <c r="I147" s="17"/>
      <c r="J147" s="17"/>
    </row>
    <row r="148" spans="1:10" x14ac:dyDescent="0.25">
      <c r="A148" s="11"/>
      <c r="B148" s="17"/>
      <c r="C148" s="30"/>
      <c r="D148" s="17"/>
      <c r="E148" s="17"/>
      <c r="F148" s="25"/>
      <c r="G148" s="25">
        <f t="shared" si="1"/>
        <v>0</v>
      </c>
      <c r="H148" s="17"/>
      <c r="I148" s="17"/>
      <c r="J148" s="17"/>
    </row>
    <row r="149" spans="1:10" x14ac:dyDescent="0.25">
      <c r="A149" s="11"/>
      <c r="B149" s="17"/>
      <c r="C149" s="30"/>
      <c r="D149" s="17"/>
      <c r="E149" s="17"/>
      <c r="F149" s="25"/>
      <c r="G149" s="25">
        <f t="shared" si="1"/>
        <v>0</v>
      </c>
      <c r="H149" s="17"/>
      <c r="I149" s="17"/>
      <c r="J149" s="17"/>
    </row>
    <row r="150" spans="1:10" x14ac:dyDescent="0.25">
      <c r="A150" s="11"/>
      <c r="B150" s="17"/>
      <c r="C150" s="30"/>
      <c r="D150" s="17"/>
      <c r="E150" s="17"/>
      <c r="F150" s="25"/>
      <c r="G150" s="25">
        <f t="shared" si="1"/>
        <v>0</v>
      </c>
      <c r="H150" s="17"/>
      <c r="I150" s="17"/>
      <c r="J150" s="17"/>
    </row>
    <row r="151" spans="1:10" x14ac:dyDescent="0.25">
      <c r="A151" s="11"/>
      <c r="B151" s="17"/>
      <c r="C151" s="30"/>
      <c r="D151" s="17"/>
      <c r="E151" s="17"/>
      <c r="F151" s="25"/>
      <c r="G151" s="25">
        <f t="shared" si="1"/>
        <v>0</v>
      </c>
      <c r="H151" s="17"/>
      <c r="I151" s="17"/>
      <c r="J151" s="17"/>
    </row>
    <row r="152" spans="1:10" x14ac:dyDescent="0.25">
      <c r="A152" s="11"/>
      <c r="B152" s="17"/>
      <c r="C152" s="30"/>
      <c r="D152" s="17"/>
      <c r="E152" s="17"/>
      <c r="F152" s="25"/>
      <c r="G152" s="25">
        <f t="shared" si="1"/>
        <v>0</v>
      </c>
      <c r="H152" s="17"/>
      <c r="I152" s="17"/>
      <c r="J152" s="17"/>
    </row>
    <row r="153" spans="1:10" x14ac:dyDescent="0.25">
      <c r="A153" s="11"/>
      <c r="B153" s="17"/>
      <c r="C153" s="30"/>
      <c r="D153" s="17"/>
      <c r="E153" s="17"/>
      <c r="F153" s="25"/>
      <c r="G153" s="25">
        <f t="shared" si="1"/>
        <v>0</v>
      </c>
      <c r="H153" s="17"/>
      <c r="I153" s="17"/>
      <c r="J153" s="17"/>
    </row>
    <row r="154" spans="1:10" x14ac:dyDescent="0.25">
      <c r="A154" s="11"/>
      <c r="B154" s="17"/>
      <c r="C154" s="30"/>
      <c r="D154" s="17"/>
      <c r="E154" s="17"/>
      <c r="F154" s="25"/>
      <c r="G154" s="25">
        <f t="shared" si="1"/>
        <v>0</v>
      </c>
      <c r="H154" s="17"/>
      <c r="I154" s="17"/>
      <c r="J154" s="17"/>
    </row>
    <row r="155" spans="1:10" x14ac:dyDescent="0.25">
      <c r="A155" s="11"/>
      <c r="B155" s="17"/>
      <c r="C155" s="30"/>
      <c r="D155" s="17"/>
      <c r="E155" s="17"/>
      <c r="F155" s="25"/>
      <c r="G155" s="25">
        <f t="shared" si="1"/>
        <v>0</v>
      </c>
      <c r="H155" s="17"/>
      <c r="I155" s="17"/>
      <c r="J155" s="17"/>
    </row>
    <row r="156" spans="1:10" x14ac:dyDescent="0.25">
      <c r="A156" s="11"/>
      <c r="B156" s="17"/>
      <c r="C156" s="30"/>
      <c r="D156" s="17"/>
      <c r="E156" s="17"/>
      <c r="F156" s="25"/>
      <c r="G156" s="25">
        <f t="shared" si="1"/>
        <v>0</v>
      </c>
      <c r="H156" s="17"/>
      <c r="I156" s="17"/>
      <c r="J156" s="17"/>
    </row>
    <row r="157" spans="1:10" x14ac:dyDescent="0.25">
      <c r="A157" s="11"/>
      <c r="B157" s="17"/>
      <c r="C157" s="30"/>
      <c r="D157" s="17"/>
      <c r="E157" s="17"/>
      <c r="F157" s="25"/>
      <c r="G157" s="25">
        <f t="shared" si="1"/>
        <v>0</v>
      </c>
      <c r="H157" s="17"/>
      <c r="I157" s="17"/>
      <c r="J157" s="17"/>
    </row>
    <row r="158" spans="1:10" x14ac:dyDescent="0.25">
      <c r="A158" s="11"/>
      <c r="B158" s="17"/>
      <c r="C158" s="30"/>
      <c r="D158" s="17"/>
      <c r="E158" s="17"/>
      <c r="F158" s="25"/>
      <c r="G158" s="25">
        <f t="shared" si="1"/>
        <v>0</v>
      </c>
      <c r="H158" s="17"/>
      <c r="I158" s="17"/>
      <c r="J158" s="17"/>
    </row>
    <row r="159" spans="1:10" x14ac:dyDescent="0.25">
      <c r="A159" s="11"/>
      <c r="B159" s="17"/>
      <c r="C159" s="30"/>
      <c r="D159" s="17"/>
      <c r="E159" s="17"/>
      <c r="F159" s="25"/>
      <c r="G159" s="25">
        <f t="shared" si="1"/>
        <v>0</v>
      </c>
      <c r="H159" s="17"/>
      <c r="I159" s="17"/>
      <c r="J159" s="17"/>
    </row>
    <row r="160" spans="1:10" x14ac:dyDescent="0.25">
      <c r="A160" s="11"/>
      <c r="B160" s="17"/>
      <c r="C160" s="30"/>
      <c r="D160" s="17"/>
      <c r="E160" s="17"/>
      <c r="F160" s="25"/>
      <c r="G160" s="25">
        <f t="shared" si="1"/>
        <v>0</v>
      </c>
      <c r="H160" s="17"/>
      <c r="I160" s="17"/>
      <c r="J160" s="17"/>
    </row>
    <row r="161" spans="1:10" x14ac:dyDescent="0.25">
      <c r="A161" s="11"/>
      <c r="B161" s="17"/>
      <c r="C161" s="30"/>
      <c r="D161" s="17"/>
      <c r="E161" s="17"/>
      <c r="F161" s="25"/>
      <c r="G161" s="25">
        <f t="shared" si="1"/>
        <v>0</v>
      </c>
      <c r="H161" s="17"/>
      <c r="I161" s="17"/>
      <c r="J161" s="17"/>
    </row>
    <row r="162" spans="1:10" x14ac:dyDescent="0.25">
      <c r="A162" s="11"/>
      <c r="B162" s="17"/>
      <c r="C162" s="30"/>
      <c r="D162" s="17"/>
      <c r="E162" s="17"/>
      <c r="F162" s="25"/>
      <c r="G162" s="25">
        <f t="shared" si="1"/>
        <v>0</v>
      </c>
      <c r="H162" s="17"/>
      <c r="I162" s="17"/>
      <c r="J162" s="17"/>
    </row>
    <row r="163" spans="1:10" x14ac:dyDescent="0.25">
      <c r="A163" s="11"/>
      <c r="B163" s="17"/>
      <c r="C163" s="30"/>
      <c r="D163" s="17"/>
      <c r="E163" s="17"/>
      <c r="F163" s="25"/>
      <c r="G163" s="25">
        <f t="shared" si="1"/>
        <v>0</v>
      </c>
      <c r="H163" s="17"/>
      <c r="I163" s="17"/>
      <c r="J163" s="17"/>
    </row>
    <row r="164" spans="1:10" x14ac:dyDescent="0.25">
      <c r="A164" s="11"/>
      <c r="B164" s="17"/>
      <c r="C164" s="30"/>
      <c r="D164" s="17"/>
      <c r="E164" s="17"/>
      <c r="F164" s="25"/>
      <c r="G164" s="25">
        <f t="shared" si="1"/>
        <v>0</v>
      </c>
      <c r="H164" s="17"/>
      <c r="I164" s="17"/>
      <c r="J164" s="17"/>
    </row>
    <row r="165" spans="1:10" x14ac:dyDescent="0.25">
      <c r="A165" s="11"/>
      <c r="B165" s="17"/>
      <c r="C165" s="30"/>
      <c r="D165" s="17"/>
      <c r="E165" s="17"/>
      <c r="F165" s="25"/>
      <c r="G165" s="25">
        <f t="shared" si="1"/>
        <v>0</v>
      </c>
      <c r="H165" s="17"/>
      <c r="I165" s="17"/>
      <c r="J165" s="17"/>
    </row>
    <row r="166" spans="1:10" x14ac:dyDescent="0.25">
      <c r="A166" s="11"/>
      <c r="B166" s="17"/>
      <c r="C166" s="30"/>
      <c r="D166" s="17"/>
      <c r="E166" s="17"/>
      <c r="F166" s="25"/>
      <c r="G166" s="25">
        <f t="shared" si="1"/>
        <v>0</v>
      </c>
      <c r="H166" s="17"/>
      <c r="I166" s="17"/>
      <c r="J166" s="17"/>
    </row>
    <row r="167" spans="1:10" x14ac:dyDescent="0.25">
      <c r="A167" s="11"/>
      <c r="B167" s="17"/>
      <c r="C167" s="30"/>
      <c r="D167" s="17"/>
      <c r="E167" s="17"/>
      <c r="F167" s="25"/>
      <c r="G167" s="25">
        <f t="shared" si="1"/>
        <v>0</v>
      </c>
      <c r="H167" s="17"/>
      <c r="I167" s="17"/>
      <c r="J167" s="17"/>
    </row>
    <row r="168" spans="1:10" x14ac:dyDescent="0.25">
      <c r="A168" s="11"/>
      <c r="B168" s="17"/>
      <c r="C168" s="30"/>
      <c r="D168" s="17"/>
      <c r="E168" s="17"/>
      <c r="F168" s="25"/>
      <c r="G168" s="25">
        <f t="shared" si="1"/>
        <v>0</v>
      </c>
      <c r="H168" s="17"/>
      <c r="I168" s="17"/>
      <c r="J168" s="17"/>
    </row>
    <row r="169" spans="1:10" x14ac:dyDescent="0.25">
      <c r="A169" s="11"/>
      <c r="B169" s="17"/>
      <c r="C169" s="30"/>
      <c r="D169" s="17"/>
      <c r="E169" s="17"/>
      <c r="F169" s="25"/>
      <c r="G169" s="25">
        <f t="shared" si="1"/>
        <v>0</v>
      </c>
      <c r="H169" s="17"/>
      <c r="I169" s="17"/>
      <c r="J169" s="17"/>
    </row>
    <row r="170" spans="1:10" x14ac:dyDescent="0.25">
      <c r="A170" s="11"/>
      <c r="B170" s="17"/>
      <c r="C170" s="30"/>
      <c r="D170" s="17"/>
      <c r="E170" s="17"/>
      <c r="F170" s="25"/>
      <c r="G170" s="25">
        <f t="shared" si="1"/>
        <v>0</v>
      </c>
      <c r="H170" s="17"/>
      <c r="I170" s="17"/>
      <c r="J170" s="17"/>
    </row>
    <row r="171" spans="1:10" x14ac:dyDescent="0.25">
      <c r="A171" s="11"/>
      <c r="B171" s="17"/>
      <c r="C171" s="30"/>
      <c r="D171" s="17"/>
      <c r="E171" s="17"/>
      <c r="F171" s="25"/>
      <c r="G171" s="25">
        <f t="shared" si="1"/>
        <v>0</v>
      </c>
      <c r="H171" s="17"/>
      <c r="I171" s="17"/>
      <c r="J171" s="17"/>
    </row>
    <row r="172" spans="1:10" x14ac:dyDescent="0.25">
      <c r="A172" s="11"/>
      <c r="B172" s="17"/>
      <c r="C172" s="30"/>
      <c r="D172" s="17"/>
      <c r="E172" s="17"/>
      <c r="F172" s="25"/>
      <c r="G172" s="25">
        <f t="shared" si="1"/>
        <v>0</v>
      </c>
      <c r="H172" s="17"/>
      <c r="I172" s="17"/>
      <c r="J172" s="17"/>
    </row>
    <row r="173" spans="1:10" x14ac:dyDescent="0.25">
      <c r="A173" s="11"/>
      <c r="B173" s="17"/>
      <c r="C173" s="30"/>
      <c r="D173" s="17"/>
      <c r="E173" s="17"/>
      <c r="F173" s="25"/>
      <c r="G173" s="25">
        <f t="shared" si="1"/>
        <v>0</v>
      </c>
      <c r="H173" s="17"/>
      <c r="I173" s="17"/>
      <c r="J173" s="17"/>
    </row>
    <row r="174" spans="1:10" x14ac:dyDescent="0.25">
      <c r="A174" s="11"/>
      <c r="B174" s="17"/>
      <c r="C174" s="30"/>
      <c r="D174" s="17"/>
      <c r="E174" s="17"/>
      <c r="F174" s="25"/>
      <c r="G174" s="25">
        <f t="shared" si="1"/>
        <v>0</v>
      </c>
      <c r="H174" s="17"/>
      <c r="I174" s="17"/>
      <c r="J174" s="17"/>
    </row>
    <row r="175" spans="1:10" x14ac:dyDescent="0.25">
      <c r="A175" s="11"/>
      <c r="B175" s="17"/>
      <c r="C175" s="30"/>
      <c r="D175" s="17"/>
      <c r="E175" s="17"/>
      <c r="F175" s="25"/>
      <c r="G175" s="25">
        <f t="shared" si="1"/>
        <v>0</v>
      </c>
      <c r="H175" s="17"/>
      <c r="I175" s="17"/>
      <c r="J175" s="17"/>
    </row>
    <row r="176" spans="1:10" x14ac:dyDescent="0.25">
      <c r="A176" s="11"/>
      <c r="B176" s="17"/>
      <c r="C176" s="30"/>
      <c r="D176" s="17"/>
      <c r="E176" s="17"/>
      <c r="F176" s="25"/>
      <c r="G176" s="25">
        <f t="shared" si="1"/>
        <v>0</v>
      </c>
      <c r="H176" s="17"/>
      <c r="I176" s="17"/>
      <c r="J176" s="17"/>
    </row>
    <row r="177" spans="1:10" x14ac:dyDescent="0.25">
      <c r="A177" s="11"/>
      <c r="B177" s="17"/>
      <c r="C177" s="30"/>
      <c r="D177" s="17"/>
      <c r="E177" s="17"/>
      <c r="F177" s="25"/>
      <c r="G177" s="25">
        <f t="shared" si="1"/>
        <v>0</v>
      </c>
      <c r="H177" s="17"/>
      <c r="I177" s="17"/>
      <c r="J177" s="17"/>
    </row>
    <row r="178" spans="1:10" x14ac:dyDescent="0.25">
      <c r="A178" s="11"/>
      <c r="B178" s="17"/>
      <c r="C178" s="30"/>
      <c r="D178" s="17"/>
      <c r="E178" s="17"/>
      <c r="F178" s="25"/>
      <c r="G178" s="25">
        <f t="shared" si="1"/>
        <v>0</v>
      </c>
      <c r="H178" s="17"/>
      <c r="I178" s="17"/>
      <c r="J178" s="17"/>
    </row>
    <row r="179" spans="1:10" x14ac:dyDescent="0.25">
      <c r="A179" s="11"/>
      <c r="B179" s="17"/>
      <c r="C179" s="30"/>
      <c r="D179" s="17"/>
      <c r="E179" s="17"/>
      <c r="F179" s="25"/>
      <c r="G179" s="25">
        <f t="shared" si="1"/>
        <v>0</v>
      </c>
      <c r="H179" s="17"/>
      <c r="I179" s="17"/>
      <c r="J179" s="17"/>
    </row>
    <row r="180" spans="1:10" x14ac:dyDescent="0.25">
      <c r="A180" s="11"/>
      <c r="B180" s="17"/>
      <c r="C180" s="30"/>
      <c r="D180" s="17"/>
      <c r="E180" s="17"/>
      <c r="F180" s="25"/>
      <c r="G180" s="25">
        <f t="shared" si="1"/>
        <v>0</v>
      </c>
      <c r="H180" s="17"/>
      <c r="I180" s="17"/>
      <c r="J180" s="17"/>
    </row>
    <row r="181" spans="1:10" x14ac:dyDescent="0.25">
      <c r="A181" s="11"/>
      <c r="B181" s="17"/>
      <c r="C181" s="30"/>
      <c r="D181" s="17"/>
      <c r="E181" s="17"/>
      <c r="F181" s="25"/>
      <c r="G181" s="25">
        <f t="shared" si="1"/>
        <v>0</v>
      </c>
      <c r="H181" s="17"/>
      <c r="I181" s="17"/>
      <c r="J181" s="17"/>
    </row>
    <row r="182" spans="1:10" x14ac:dyDescent="0.25">
      <c r="A182" s="11"/>
      <c r="B182" s="17"/>
      <c r="C182" s="30"/>
      <c r="D182" s="17"/>
      <c r="E182" s="17"/>
      <c r="F182" s="25"/>
      <c r="G182" s="25">
        <f t="shared" si="1"/>
        <v>0</v>
      </c>
      <c r="H182" s="17"/>
      <c r="I182" s="17"/>
      <c r="J182" s="17"/>
    </row>
    <row r="183" spans="1:10" x14ac:dyDescent="0.25">
      <c r="A183" s="11"/>
      <c r="B183" s="17"/>
      <c r="C183" s="30"/>
      <c r="D183" s="17"/>
      <c r="E183" s="17"/>
      <c r="F183" s="25"/>
      <c r="G183" s="25">
        <f t="shared" si="1"/>
        <v>0</v>
      </c>
      <c r="H183" s="17"/>
      <c r="I183" s="17"/>
      <c r="J183" s="17"/>
    </row>
    <row r="184" spans="1:10" x14ac:dyDescent="0.25">
      <c r="A184" s="11"/>
      <c r="B184" s="17"/>
      <c r="C184" s="30"/>
      <c r="D184" s="17"/>
      <c r="E184" s="17"/>
      <c r="F184" s="25"/>
      <c r="G184" s="25">
        <f t="shared" si="1"/>
        <v>0</v>
      </c>
      <c r="H184" s="17"/>
      <c r="I184" s="17"/>
      <c r="J184" s="17"/>
    </row>
    <row r="185" spans="1:10" x14ac:dyDescent="0.25">
      <c r="A185" s="11"/>
      <c r="B185" s="17"/>
      <c r="C185" s="30"/>
      <c r="D185" s="17"/>
      <c r="E185" s="17"/>
      <c r="F185" s="25"/>
      <c r="G185" s="25">
        <f t="shared" si="1"/>
        <v>0</v>
      </c>
      <c r="H185" s="17"/>
      <c r="I185" s="17"/>
      <c r="J185" s="17"/>
    </row>
    <row r="186" spans="1:10" x14ac:dyDescent="0.25">
      <c r="A186" s="11"/>
      <c r="B186" s="17"/>
      <c r="C186" s="30"/>
      <c r="D186" s="17"/>
      <c r="E186" s="17"/>
      <c r="F186" s="25"/>
      <c r="G186" s="25">
        <f t="shared" si="1"/>
        <v>0</v>
      </c>
      <c r="H186" s="17"/>
      <c r="I186" s="17"/>
      <c r="J186" s="17"/>
    </row>
    <row r="187" spans="1:10" x14ac:dyDescent="0.25">
      <c r="A187" s="11"/>
      <c r="B187" s="17"/>
      <c r="C187" s="30"/>
      <c r="D187" s="17"/>
      <c r="E187" s="17"/>
      <c r="F187" s="25"/>
      <c r="G187" s="25">
        <f t="shared" si="1"/>
        <v>0</v>
      </c>
      <c r="H187" s="17"/>
      <c r="I187" s="17"/>
      <c r="J187" s="17"/>
    </row>
    <row r="188" spans="1:10" x14ac:dyDescent="0.25">
      <c r="A188" s="11"/>
      <c r="B188" s="17"/>
      <c r="C188" s="30"/>
      <c r="D188" s="17"/>
      <c r="E188" s="17"/>
      <c r="F188" s="25"/>
      <c r="G188" s="25">
        <f t="shared" si="1"/>
        <v>0</v>
      </c>
      <c r="H188" s="17"/>
      <c r="I188" s="17"/>
      <c r="J188" s="17"/>
    </row>
    <row r="189" spans="1:10" x14ac:dyDescent="0.25">
      <c r="A189" s="11"/>
      <c r="B189" s="17"/>
      <c r="C189" s="30"/>
      <c r="D189" s="17"/>
      <c r="E189" s="17"/>
      <c r="F189" s="25"/>
      <c r="G189" s="25">
        <f t="shared" si="1"/>
        <v>0</v>
      </c>
      <c r="H189" s="17"/>
      <c r="I189" s="17"/>
      <c r="J189" s="17"/>
    </row>
    <row r="190" spans="1:10" x14ac:dyDescent="0.25">
      <c r="A190" s="11"/>
      <c r="B190" s="17"/>
      <c r="C190" s="30"/>
      <c r="D190" s="17"/>
      <c r="E190" s="17"/>
      <c r="F190" s="25"/>
      <c r="G190" s="25">
        <f t="shared" si="1"/>
        <v>0</v>
      </c>
      <c r="H190" s="17"/>
      <c r="I190" s="17"/>
      <c r="J190" s="17"/>
    </row>
    <row r="191" spans="1:10" x14ac:dyDescent="0.25">
      <c r="A191" s="11"/>
      <c r="B191" s="17"/>
      <c r="C191" s="30"/>
      <c r="D191" s="17"/>
      <c r="E191" s="17"/>
      <c r="F191" s="25"/>
      <c r="G191" s="25">
        <f t="shared" si="1"/>
        <v>0</v>
      </c>
      <c r="H191" s="17"/>
      <c r="I191" s="17"/>
      <c r="J191" s="17"/>
    </row>
    <row r="192" spans="1:10" x14ac:dyDescent="0.25">
      <c r="A192" s="11"/>
      <c r="B192" s="17"/>
      <c r="C192" s="30"/>
      <c r="D192" s="17"/>
      <c r="E192" s="17"/>
      <c r="F192" s="25"/>
      <c r="G192" s="25">
        <f t="shared" si="1"/>
        <v>0</v>
      </c>
      <c r="H192" s="17"/>
      <c r="I192" s="17"/>
      <c r="J192" s="17"/>
    </row>
    <row r="193" spans="1:10" x14ac:dyDescent="0.25">
      <c r="A193" s="11"/>
      <c r="B193" s="17"/>
      <c r="C193" s="30"/>
      <c r="D193" s="17"/>
      <c r="E193" s="17"/>
      <c r="F193" s="25"/>
      <c r="G193" s="25">
        <f t="shared" si="1"/>
        <v>0</v>
      </c>
      <c r="H193" s="17"/>
      <c r="I193" s="17"/>
      <c r="J193" s="17"/>
    </row>
    <row r="194" spans="1:10" x14ac:dyDescent="0.25">
      <c r="A194" s="11"/>
      <c r="B194" s="17"/>
      <c r="C194" s="30"/>
      <c r="D194" s="17"/>
      <c r="E194" s="17"/>
      <c r="F194" s="25"/>
      <c r="G194" s="25">
        <f t="shared" si="1"/>
        <v>0</v>
      </c>
      <c r="H194" s="17"/>
      <c r="I194" s="17"/>
      <c r="J194" s="17"/>
    </row>
    <row r="195" spans="1:10" x14ac:dyDescent="0.25">
      <c r="A195" s="11"/>
      <c r="B195" s="17"/>
      <c r="C195" s="30"/>
      <c r="D195" s="17"/>
      <c r="E195" s="17"/>
      <c r="F195" s="25"/>
      <c r="G195" s="25">
        <f t="shared" si="1"/>
        <v>0</v>
      </c>
      <c r="H195" s="17"/>
      <c r="I195" s="17"/>
      <c r="J195" s="17"/>
    </row>
    <row r="196" spans="1:10" x14ac:dyDescent="0.25">
      <c r="A196" s="11"/>
      <c r="B196" s="17"/>
      <c r="C196" s="30"/>
      <c r="D196" s="17"/>
      <c r="E196" s="17"/>
      <c r="F196" s="25"/>
      <c r="G196" s="25">
        <f t="shared" si="1"/>
        <v>0</v>
      </c>
      <c r="H196" s="17"/>
      <c r="I196" s="17"/>
      <c r="J196" s="17"/>
    </row>
    <row r="197" spans="1:10" x14ac:dyDescent="0.25">
      <c r="A197" s="11"/>
      <c r="B197" s="17"/>
      <c r="C197" s="30"/>
      <c r="D197" s="17"/>
      <c r="E197" s="17"/>
      <c r="F197" s="25"/>
      <c r="G197" s="25">
        <f t="shared" si="1"/>
        <v>0</v>
      </c>
      <c r="H197" s="17"/>
      <c r="I197" s="17"/>
      <c r="J197" s="17"/>
    </row>
    <row r="198" spans="1:10" x14ac:dyDescent="0.25">
      <c r="A198" s="11"/>
      <c r="B198" s="17"/>
      <c r="C198" s="30"/>
      <c r="D198" s="17"/>
      <c r="E198" s="17"/>
      <c r="F198" s="25"/>
      <c r="G198" s="25">
        <f t="shared" si="1"/>
        <v>0</v>
      </c>
      <c r="H198" s="17"/>
      <c r="I198" s="17"/>
      <c r="J198" s="17"/>
    </row>
    <row r="199" spans="1:10" x14ac:dyDescent="0.25">
      <c r="A199" s="11"/>
      <c r="B199" s="17"/>
      <c r="C199" s="30"/>
      <c r="D199" s="17"/>
      <c r="E199" s="17"/>
      <c r="F199" s="25"/>
      <c r="G199" s="25">
        <f t="shared" si="1"/>
        <v>0</v>
      </c>
      <c r="H199" s="17"/>
      <c r="I199" s="17"/>
      <c r="J199" s="17"/>
    </row>
    <row r="200" spans="1:10" x14ac:dyDescent="0.25">
      <c r="A200" s="11"/>
      <c r="B200" s="17"/>
      <c r="C200" s="30"/>
      <c r="D200" s="17"/>
      <c r="E200" s="17"/>
      <c r="F200" s="25"/>
      <c r="G200" s="25">
        <f t="shared" si="1"/>
        <v>0</v>
      </c>
      <c r="H200" s="17"/>
      <c r="I200" s="17"/>
      <c r="J200" s="17"/>
    </row>
    <row r="201" spans="1:10" x14ac:dyDescent="0.25">
      <c r="A201" s="11"/>
      <c r="B201" s="17"/>
      <c r="C201" s="30"/>
      <c r="D201" s="17"/>
      <c r="E201" s="17"/>
      <c r="F201" s="25"/>
      <c r="G201" s="25">
        <f t="shared" si="1"/>
        <v>0</v>
      </c>
      <c r="H201" s="17"/>
      <c r="I201" s="17"/>
      <c r="J201" s="17"/>
    </row>
    <row r="202" spans="1:10" x14ac:dyDescent="0.25">
      <c r="A202" s="11"/>
      <c r="B202" s="17"/>
      <c r="C202" s="30"/>
      <c r="D202" s="17"/>
      <c r="E202" s="17"/>
      <c r="F202" s="25"/>
      <c r="G202" s="25">
        <f t="shared" si="1"/>
        <v>0</v>
      </c>
      <c r="H202" s="17"/>
      <c r="I202" s="17"/>
      <c r="J202" s="17"/>
    </row>
    <row r="203" spans="1:10" x14ac:dyDescent="0.25">
      <c r="A203" s="11"/>
      <c r="B203" s="17"/>
      <c r="C203" s="30"/>
      <c r="D203" s="17"/>
      <c r="E203" s="17"/>
      <c r="F203" s="25"/>
      <c r="G203" s="25">
        <f t="shared" si="1"/>
        <v>0</v>
      </c>
      <c r="H203" s="17"/>
      <c r="I203" s="17"/>
      <c r="J203" s="17"/>
    </row>
    <row r="204" spans="1:10" x14ac:dyDescent="0.25">
      <c r="A204" s="11"/>
      <c r="B204" s="17"/>
      <c r="C204" s="30"/>
      <c r="D204" s="17"/>
      <c r="E204" s="17"/>
      <c r="F204" s="25"/>
      <c r="G204" s="25">
        <f t="shared" si="1"/>
        <v>0</v>
      </c>
      <c r="H204" s="17"/>
      <c r="I204" s="17"/>
      <c r="J204" s="17"/>
    </row>
    <row r="205" spans="1:10" x14ac:dyDescent="0.25">
      <c r="A205" s="11"/>
      <c r="B205" s="17"/>
      <c r="C205" s="30"/>
      <c r="D205" s="17"/>
      <c r="E205" s="17"/>
      <c r="F205" s="25"/>
      <c r="G205" s="25">
        <f t="shared" si="1"/>
        <v>0</v>
      </c>
      <c r="H205" s="17"/>
      <c r="I205" s="17"/>
      <c r="J205" s="17"/>
    </row>
    <row r="206" spans="1:10" x14ac:dyDescent="0.25">
      <c r="A206" s="11"/>
      <c r="B206" s="17"/>
      <c r="C206" s="30"/>
      <c r="D206" s="17"/>
      <c r="E206" s="17"/>
      <c r="F206" s="25"/>
      <c r="G206" s="25">
        <f t="shared" si="1"/>
        <v>0</v>
      </c>
      <c r="H206" s="17"/>
      <c r="I206" s="17"/>
      <c r="J206" s="17"/>
    </row>
    <row r="207" spans="1:10" x14ac:dyDescent="0.25">
      <c r="A207" s="11"/>
      <c r="B207" s="17"/>
      <c r="C207" s="30"/>
      <c r="D207" s="17"/>
      <c r="E207" s="17"/>
      <c r="F207" s="25"/>
      <c r="G207" s="25">
        <f t="shared" si="1"/>
        <v>0</v>
      </c>
      <c r="H207" s="17"/>
      <c r="I207" s="17"/>
      <c r="J207" s="17"/>
    </row>
    <row r="208" spans="1:10" x14ac:dyDescent="0.25">
      <c r="A208" s="11"/>
      <c r="B208" s="17"/>
      <c r="C208" s="30"/>
      <c r="D208" s="17"/>
      <c r="E208" s="17"/>
      <c r="F208" s="25"/>
      <c r="G208" s="25">
        <f t="shared" si="1"/>
        <v>0</v>
      </c>
      <c r="H208" s="17"/>
      <c r="I208" s="17"/>
      <c r="J208" s="17"/>
    </row>
    <row r="209" spans="1:10" x14ac:dyDescent="0.25">
      <c r="A209" s="11"/>
      <c r="B209" s="17"/>
      <c r="C209" s="30"/>
      <c r="D209" s="17"/>
      <c r="E209" s="17"/>
      <c r="F209" s="25"/>
      <c r="G209" s="25">
        <f t="shared" si="1"/>
        <v>0</v>
      </c>
      <c r="H209" s="17"/>
      <c r="I209" s="17"/>
      <c r="J209" s="17"/>
    </row>
    <row r="210" spans="1:10" x14ac:dyDescent="0.25">
      <c r="A210" s="11"/>
      <c r="B210" s="17"/>
      <c r="C210" s="30"/>
      <c r="D210" s="17"/>
      <c r="E210" s="17"/>
      <c r="F210" s="25"/>
      <c r="G210" s="25">
        <f t="shared" si="1"/>
        <v>0</v>
      </c>
      <c r="H210" s="17"/>
      <c r="I210" s="17"/>
      <c r="J210" s="17"/>
    </row>
    <row r="211" spans="1:10" x14ac:dyDescent="0.25">
      <c r="A211" s="11"/>
      <c r="B211" s="17"/>
      <c r="C211" s="30"/>
      <c r="D211" s="17"/>
      <c r="E211" s="17"/>
      <c r="F211" s="25"/>
      <c r="G211" s="25">
        <f t="shared" si="1"/>
        <v>0</v>
      </c>
      <c r="H211" s="17"/>
      <c r="I211" s="17"/>
      <c r="J211" s="17"/>
    </row>
    <row r="212" spans="1:10" x14ac:dyDescent="0.25">
      <c r="A212" s="11"/>
      <c r="B212" s="17"/>
      <c r="C212" s="30"/>
      <c r="D212" s="17"/>
      <c r="E212" s="17"/>
      <c r="F212" s="25"/>
      <c r="G212" s="25">
        <f t="shared" si="1"/>
        <v>0</v>
      </c>
      <c r="H212" s="17"/>
      <c r="I212" s="17"/>
      <c r="J212" s="17"/>
    </row>
    <row r="213" spans="1:10" x14ac:dyDescent="0.25">
      <c r="A213" s="11"/>
      <c r="B213" s="17"/>
      <c r="C213" s="30"/>
      <c r="D213" s="17"/>
      <c r="E213" s="17"/>
      <c r="F213" s="25"/>
      <c r="G213" s="25">
        <f t="shared" si="1"/>
        <v>0</v>
      </c>
      <c r="H213" s="17"/>
      <c r="I213" s="17"/>
      <c r="J213" s="17"/>
    </row>
    <row r="214" spans="1:10" x14ac:dyDescent="0.25">
      <c r="A214" s="11"/>
      <c r="B214" s="17"/>
      <c r="C214" s="30"/>
      <c r="D214" s="17"/>
      <c r="E214" s="17"/>
      <c r="F214" s="25"/>
      <c r="G214" s="25">
        <f t="shared" si="1"/>
        <v>0</v>
      </c>
      <c r="H214" s="17"/>
      <c r="I214" s="17"/>
      <c r="J214" s="17"/>
    </row>
    <row r="215" spans="1:10" x14ac:dyDescent="0.25">
      <c r="A215" s="11"/>
      <c r="B215" s="17"/>
      <c r="C215" s="30"/>
      <c r="D215" s="17"/>
      <c r="E215" s="17"/>
      <c r="F215" s="25"/>
      <c r="G215" s="25">
        <f t="shared" si="1"/>
        <v>0</v>
      </c>
      <c r="H215" s="17"/>
      <c r="I215" s="17"/>
      <c r="J215" s="17"/>
    </row>
    <row r="216" spans="1:10" x14ac:dyDescent="0.25">
      <c r="A216" s="11"/>
      <c r="B216" s="17"/>
      <c r="C216" s="30"/>
      <c r="D216" s="17"/>
      <c r="E216" s="17"/>
      <c r="F216" s="25"/>
      <c r="G216" s="25">
        <f t="shared" si="1"/>
        <v>0</v>
      </c>
      <c r="H216" s="17"/>
      <c r="I216" s="17"/>
      <c r="J216" s="17"/>
    </row>
    <row r="217" spans="1:10" x14ac:dyDescent="0.25">
      <c r="A217" s="11"/>
      <c r="B217" s="17"/>
      <c r="C217" s="30"/>
      <c r="D217" s="17"/>
      <c r="E217" s="17"/>
      <c r="F217" s="25"/>
      <c r="G217" s="25">
        <f t="shared" si="1"/>
        <v>0</v>
      </c>
      <c r="H217" s="17"/>
      <c r="I217" s="17"/>
      <c r="J217" s="17"/>
    </row>
    <row r="218" spans="1:10" x14ac:dyDescent="0.25">
      <c r="A218" s="11"/>
      <c r="B218" s="17"/>
      <c r="C218" s="30"/>
      <c r="D218" s="17"/>
      <c r="E218" s="17"/>
      <c r="F218" s="25"/>
      <c r="G218" s="25">
        <f t="shared" si="1"/>
        <v>0</v>
      </c>
      <c r="H218" s="17"/>
      <c r="I218" s="17"/>
      <c r="J218" s="17"/>
    </row>
    <row r="219" spans="1:10" x14ac:dyDescent="0.25">
      <c r="A219" s="11"/>
      <c r="B219" s="17"/>
      <c r="C219" s="30"/>
      <c r="D219" s="17"/>
      <c r="E219" s="17"/>
      <c r="F219" s="25"/>
      <c r="G219" s="25">
        <f t="shared" si="1"/>
        <v>0</v>
      </c>
      <c r="H219" s="17"/>
      <c r="I219" s="17"/>
      <c r="J219" s="17"/>
    </row>
    <row r="220" spans="1:10" x14ac:dyDescent="0.25">
      <c r="A220" s="11"/>
      <c r="B220" s="17"/>
      <c r="C220" s="30"/>
      <c r="D220" s="17"/>
      <c r="E220" s="17"/>
      <c r="F220" s="25"/>
      <c r="G220" s="25">
        <f t="shared" si="1"/>
        <v>0</v>
      </c>
      <c r="H220" s="17"/>
      <c r="I220" s="17"/>
      <c r="J220" s="17"/>
    </row>
    <row r="221" spans="1:10" x14ac:dyDescent="0.25">
      <c r="A221" s="11"/>
      <c r="B221" s="17"/>
      <c r="C221" s="30"/>
      <c r="D221" s="17"/>
      <c r="E221" s="17"/>
      <c r="F221" s="25"/>
      <c r="G221" s="25">
        <f t="shared" si="1"/>
        <v>0</v>
      </c>
      <c r="H221" s="17"/>
      <c r="I221" s="17"/>
      <c r="J221" s="17"/>
    </row>
    <row r="222" spans="1:10" x14ac:dyDescent="0.25">
      <c r="A222" s="11"/>
      <c r="B222" s="17"/>
      <c r="C222" s="30"/>
      <c r="D222" s="17"/>
      <c r="E222" s="17"/>
      <c r="F222" s="25"/>
      <c r="G222" s="25">
        <f t="shared" si="1"/>
        <v>0</v>
      </c>
      <c r="H222" s="17"/>
      <c r="I222" s="17"/>
      <c r="J222" s="17"/>
    </row>
    <row r="223" spans="1:10" x14ac:dyDescent="0.25">
      <c r="A223" s="11"/>
      <c r="B223" s="17"/>
      <c r="C223" s="30"/>
      <c r="D223" s="17"/>
      <c r="E223" s="17"/>
      <c r="F223" s="25"/>
      <c r="G223" s="25">
        <f t="shared" si="1"/>
        <v>0</v>
      </c>
      <c r="H223" s="17"/>
      <c r="I223" s="17"/>
      <c r="J223" s="17"/>
    </row>
    <row r="224" spans="1:10" x14ac:dyDescent="0.25">
      <c r="A224" s="11"/>
      <c r="B224" s="17"/>
      <c r="C224" s="30"/>
      <c r="D224" s="17"/>
      <c r="E224" s="17"/>
      <c r="F224" s="25"/>
      <c r="G224" s="25">
        <f t="shared" si="1"/>
        <v>0</v>
      </c>
      <c r="H224" s="17"/>
      <c r="I224" s="17"/>
      <c r="J224" s="17"/>
    </row>
    <row r="225" spans="1:10" x14ac:dyDescent="0.25">
      <c r="A225" s="11"/>
      <c r="B225" s="17"/>
      <c r="C225" s="30"/>
      <c r="D225" s="17"/>
      <c r="E225" s="17"/>
      <c r="F225" s="25"/>
      <c r="G225" s="25">
        <f t="shared" si="1"/>
        <v>0</v>
      </c>
      <c r="H225" s="17"/>
      <c r="I225" s="17"/>
      <c r="J225" s="17"/>
    </row>
    <row r="226" spans="1:10" x14ac:dyDescent="0.25">
      <c r="A226" s="11"/>
      <c r="B226" s="17"/>
      <c r="C226" s="30"/>
      <c r="D226" s="17"/>
      <c r="E226" s="17"/>
      <c r="F226" s="25"/>
      <c r="G226" s="25">
        <f t="shared" si="1"/>
        <v>0</v>
      </c>
      <c r="H226" s="17"/>
      <c r="I226" s="17"/>
      <c r="J226" s="17"/>
    </row>
    <row r="227" spans="1:10" x14ac:dyDescent="0.25">
      <c r="A227" s="11"/>
      <c r="B227" s="17"/>
      <c r="C227" s="30"/>
      <c r="D227" s="17"/>
      <c r="E227" s="17"/>
      <c r="F227" s="25"/>
      <c r="G227" s="25">
        <f t="shared" si="1"/>
        <v>0</v>
      </c>
      <c r="H227" s="17"/>
      <c r="I227" s="17"/>
      <c r="J227" s="17"/>
    </row>
    <row r="228" spans="1:10" x14ac:dyDescent="0.25">
      <c r="A228" s="11"/>
      <c r="B228" s="17"/>
      <c r="C228" s="30"/>
      <c r="D228" s="17"/>
      <c r="E228" s="17"/>
      <c r="F228" s="25"/>
      <c r="G228" s="25">
        <f t="shared" si="1"/>
        <v>0</v>
      </c>
      <c r="H228" s="17"/>
      <c r="I228" s="17"/>
      <c r="J228" s="17"/>
    </row>
    <row r="229" spans="1:10" x14ac:dyDescent="0.25">
      <c r="A229" s="11"/>
      <c r="B229" s="17"/>
      <c r="C229" s="30"/>
      <c r="D229" s="17"/>
      <c r="E229" s="17"/>
      <c r="F229" s="25"/>
      <c r="G229" s="25">
        <f t="shared" si="1"/>
        <v>0</v>
      </c>
      <c r="H229" s="17"/>
      <c r="I229" s="17"/>
      <c r="J229" s="17"/>
    </row>
    <row r="230" spans="1:10" x14ac:dyDescent="0.25">
      <c r="A230" s="11"/>
      <c r="B230" s="17"/>
      <c r="C230" s="30"/>
      <c r="D230" s="17"/>
      <c r="E230" s="17"/>
      <c r="F230" s="25"/>
      <c r="G230" s="25">
        <f t="shared" si="1"/>
        <v>0</v>
      </c>
      <c r="H230" s="17"/>
      <c r="I230" s="17"/>
      <c r="J230" s="17"/>
    </row>
    <row r="231" spans="1:10" x14ac:dyDescent="0.25">
      <c r="A231" s="11"/>
      <c r="B231" s="17"/>
      <c r="C231" s="30"/>
      <c r="D231" s="17"/>
      <c r="E231" s="17"/>
      <c r="F231" s="25"/>
      <c r="G231" s="25">
        <f t="shared" si="1"/>
        <v>0</v>
      </c>
      <c r="H231" s="17"/>
      <c r="I231" s="17"/>
      <c r="J231" s="17"/>
    </row>
    <row r="232" spans="1:10" x14ac:dyDescent="0.25">
      <c r="A232" s="11"/>
      <c r="B232" s="17"/>
      <c r="C232" s="30"/>
      <c r="D232" s="17"/>
      <c r="E232" s="17"/>
      <c r="F232" s="25"/>
      <c r="G232" s="25">
        <f t="shared" si="1"/>
        <v>0</v>
      </c>
      <c r="H232" s="17"/>
      <c r="I232" s="17"/>
      <c r="J232" s="17"/>
    </row>
    <row r="233" spans="1:10" x14ac:dyDescent="0.25">
      <c r="A233" s="11"/>
      <c r="B233" s="17"/>
      <c r="C233" s="30"/>
      <c r="D233" s="17"/>
      <c r="E233" s="17"/>
      <c r="F233" s="25"/>
      <c r="G233" s="25">
        <f t="shared" si="1"/>
        <v>0</v>
      </c>
      <c r="H233" s="17"/>
      <c r="I233" s="17"/>
      <c r="J233" s="17"/>
    </row>
    <row r="234" spans="1:10" x14ac:dyDescent="0.25">
      <c r="A234" s="11"/>
      <c r="B234" s="17"/>
      <c r="C234" s="30"/>
      <c r="D234" s="17"/>
      <c r="E234" s="17"/>
      <c r="F234" s="25"/>
      <c r="G234" s="25">
        <f t="shared" si="1"/>
        <v>0</v>
      </c>
      <c r="H234" s="17"/>
      <c r="I234" s="17"/>
      <c r="J234" s="17"/>
    </row>
    <row r="235" spans="1:10" x14ac:dyDescent="0.25">
      <c r="A235" s="11"/>
      <c r="B235" s="17"/>
      <c r="C235" s="30"/>
      <c r="D235" s="17"/>
      <c r="E235" s="17"/>
      <c r="F235" s="25"/>
      <c r="G235" s="25">
        <f t="shared" si="1"/>
        <v>0</v>
      </c>
      <c r="H235" s="17"/>
      <c r="I235" s="17"/>
      <c r="J235" s="17"/>
    </row>
    <row r="236" spans="1:10" x14ac:dyDescent="0.25">
      <c r="A236" s="11"/>
      <c r="B236" s="17"/>
      <c r="C236" s="30"/>
      <c r="D236" s="17"/>
      <c r="E236" s="17"/>
      <c r="F236" s="25"/>
      <c r="G236" s="25">
        <f t="shared" si="1"/>
        <v>0</v>
      </c>
      <c r="H236" s="17"/>
      <c r="I236" s="17"/>
      <c r="J236" s="17"/>
    </row>
    <row r="237" spans="1:10" x14ac:dyDescent="0.25">
      <c r="A237" s="11"/>
      <c r="B237" s="17"/>
      <c r="C237" s="30"/>
      <c r="D237" s="17"/>
      <c r="E237" s="17"/>
      <c r="F237" s="25"/>
      <c r="G237" s="25">
        <f t="shared" si="1"/>
        <v>0</v>
      </c>
      <c r="H237" s="17"/>
      <c r="I237" s="17"/>
      <c r="J237" s="17"/>
    </row>
    <row r="238" spans="1:10" x14ac:dyDescent="0.25">
      <c r="A238" s="11"/>
      <c r="B238" s="17"/>
      <c r="C238" s="30"/>
      <c r="D238" s="17"/>
      <c r="E238" s="17"/>
      <c r="F238" s="25"/>
      <c r="G238" s="25">
        <f t="shared" si="1"/>
        <v>0</v>
      </c>
      <c r="H238" s="17"/>
      <c r="I238" s="17"/>
      <c r="J238" s="17"/>
    </row>
    <row r="239" spans="1:10" x14ac:dyDescent="0.25">
      <c r="A239" s="11"/>
      <c r="B239" s="17"/>
      <c r="C239" s="30"/>
      <c r="D239" s="17"/>
      <c r="E239" s="17"/>
      <c r="F239" s="25"/>
      <c r="G239" s="25">
        <f t="shared" si="1"/>
        <v>0</v>
      </c>
      <c r="H239" s="17"/>
      <c r="I239" s="17"/>
      <c r="J239" s="17"/>
    </row>
    <row r="240" spans="1:10" x14ac:dyDescent="0.25">
      <c r="A240" s="11"/>
      <c r="B240" s="17"/>
      <c r="C240" s="30"/>
      <c r="D240" s="17"/>
      <c r="E240" s="17"/>
      <c r="F240" s="25"/>
      <c r="G240" s="25">
        <f t="shared" si="1"/>
        <v>0</v>
      </c>
      <c r="H240" s="17"/>
      <c r="I240" s="17"/>
      <c r="J240" s="17"/>
    </row>
    <row r="241" spans="1:10" x14ac:dyDescent="0.25">
      <c r="A241" s="11"/>
      <c r="B241" s="17"/>
      <c r="C241" s="30"/>
      <c r="D241" s="17"/>
      <c r="E241" s="17"/>
      <c r="F241" s="25"/>
      <c r="G241" s="25">
        <f t="shared" si="1"/>
        <v>0</v>
      </c>
      <c r="H241" s="17"/>
      <c r="I241" s="17"/>
      <c r="J241" s="17"/>
    </row>
    <row r="242" spans="1:10" x14ac:dyDescent="0.25">
      <c r="A242" s="11"/>
      <c r="B242" s="17"/>
      <c r="C242" s="30"/>
      <c r="D242" s="17"/>
      <c r="E242" s="17"/>
      <c r="F242" s="25"/>
      <c r="G242" s="25">
        <f t="shared" si="1"/>
        <v>0</v>
      </c>
      <c r="H242" s="17"/>
      <c r="I242" s="17"/>
      <c r="J242" s="17"/>
    </row>
    <row r="243" spans="1:10" x14ac:dyDescent="0.25">
      <c r="A243" s="11"/>
      <c r="B243" s="17"/>
      <c r="C243" s="30"/>
      <c r="D243" s="17"/>
      <c r="E243" s="17"/>
      <c r="F243" s="25"/>
      <c r="G243" s="25">
        <f t="shared" si="1"/>
        <v>0</v>
      </c>
      <c r="H243" s="17"/>
      <c r="I243" s="17"/>
      <c r="J243" s="17"/>
    </row>
    <row r="244" spans="1:10" x14ac:dyDescent="0.25">
      <c r="A244" s="11"/>
      <c r="B244" s="17"/>
      <c r="C244" s="30"/>
      <c r="D244" s="17"/>
      <c r="E244" s="17"/>
      <c r="F244" s="25"/>
      <c r="G244" s="25">
        <f t="shared" si="1"/>
        <v>0</v>
      </c>
      <c r="H244" s="17"/>
      <c r="I244" s="17"/>
      <c r="J244" s="17"/>
    </row>
    <row r="245" spans="1:10" x14ac:dyDescent="0.25">
      <c r="A245" s="11"/>
      <c r="B245" s="17"/>
      <c r="C245" s="30"/>
      <c r="D245" s="17"/>
      <c r="E245" s="17"/>
      <c r="F245" s="25"/>
      <c r="G245" s="25">
        <f t="shared" si="1"/>
        <v>0</v>
      </c>
      <c r="H245" s="17"/>
      <c r="I245" s="17"/>
      <c r="J245" s="17"/>
    </row>
    <row r="246" spans="1:10" x14ac:dyDescent="0.25">
      <c r="A246" s="11"/>
      <c r="B246" s="17"/>
      <c r="C246" s="30"/>
      <c r="D246" s="17"/>
      <c r="E246" s="17"/>
      <c r="F246" s="25"/>
      <c r="G246" s="25">
        <f t="shared" si="1"/>
        <v>0</v>
      </c>
      <c r="H246" s="17"/>
      <c r="I246" s="17"/>
      <c r="J246" s="17"/>
    </row>
    <row r="247" spans="1:10" x14ac:dyDescent="0.25">
      <c r="A247" s="11"/>
      <c r="B247" s="17"/>
      <c r="C247" s="30"/>
      <c r="D247" s="17"/>
      <c r="E247" s="17"/>
      <c r="F247" s="25"/>
      <c r="G247" s="25">
        <f t="shared" si="1"/>
        <v>0</v>
      </c>
      <c r="H247" s="17"/>
      <c r="I247" s="17"/>
      <c r="J247" s="17"/>
    </row>
    <row r="248" spans="1:10" x14ac:dyDescent="0.25">
      <c r="A248" s="11"/>
      <c r="B248" s="17"/>
      <c r="C248" s="30"/>
      <c r="D248" s="17"/>
      <c r="E248" s="17"/>
      <c r="F248" s="25"/>
      <c r="G248" s="25">
        <f t="shared" si="1"/>
        <v>0</v>
      </c>
      <c r="H248" s="17"/>
      <c r="I248" s="17"/>
      <c r="J248" s="17"/>
    </row>
    <row r="249" spans="1:10" x14ac:dyDescent="0.25">
      <c r="A249" s="11"/>
      <c r="B249" s="17"/>
      <c r="C249" s="30"/>
      <c r="D249" s="17"/>
      <c r="E249" s="17"/>
      <c r="F249" s="25"/>
      <c r="G249" s="25">
        <f t="shared" si="1"/>
        <v>0</v>
      </c>
      <c r="H249" s="17"/>
      <c r="I249" s="17"/>
      <c r="J249" s="17"/>
    </row>
    <row r="250" spans="1:10" x14ac:dyDescent="0.25">
      <c r="A250" s="11"/>
      <c r="B250" s="17"/>
      <c r="C250" s="30"/>
      <c r="D250" s="17"/>
      <c r="E250" s="17"/>
      <c r="F250" s="25"/>
      <c r="G250" s="25">
        <f t="shared" si="1"/>
        <v>0</v>
      </c>
      <c r="H250" s="17"/>
      <c r="I250" s="17"/>
      <c r="J250" s="17"/>
    </row>
    <row r="251" spans="1:10" x14ac:dyDescent="0.25">
      <c r="A251" s="11"/>
      <c r="B251" s="17"/>
      <c r="C251" s="30"/>
      <c r="D251" s="17"/>
      <c r="E251" s="17"/>
      <c r="F251" s="25"/>
      <c r="G251" s="25">
        <f t="shared" si="1"/>
        <v>0</v>
      </c>
      <c r="H251" s="17"/>
      <c r="I251" s="17"/>
      <c r="J251" s="17"/>
    </row>
    <row r="252" spans="1:10" x14ac:dyDescent="0.25">
      <c r="A252" s="11"/>
      <c r="B252" s="17"/>
      <c r="C252" s="30"/>
      <c r="D252" s="17"/>
      <c r="E252" s="17"/>
      <c r="F252" s="25"/>
      <c r="G252" s="25">
        <f t="shared" si="1"/>
        <v>0</v>
      </c>
      <c r="H252" s="17"/>
      <c r="I252" s="17"/>
      <c r="J252" s="17"/>
    </row>
    <row r="253" spans="1:10" x14ac:dyDescent="0.25">
      <c r="A253" s="11"/>
      <c r="B253" s="17"/>
      <c r="C253" s="30"/>
      <c r="D253" s="17"/>
      <c r="E253" s="17"/>
      <c r="F253" s="25"/>
      <c r="G253" s="25">
        <f t="shared" si="1"/>
        <v>0</v>
      </c>
      <c r="H253" s="17"/>
      <c r="I253" s="17"/>
      <c r="J253" s="17"/>
    </row>
    <row r="254" spans="1:10" x14ac:dyDescent="0.25">
      <c r="A254" s="11"/>
      <c r="B254" s="17"/>
      <c r="C254" s="30"/>
      <c r="D254" s="17"/>
      <c r="E254" s="17"/>
      <c r="F254" s="25"/>
      <c r="G254" s="25">
        <f t="shared" si="1"/>
        <v>0</v>
      </c>
      <c r="H254" s="17"/>
      <c r="I254" s="17"/>
      <c r="J254" s="17"/>
    </row>
    <row r="255" spans="1:10" x14ac:dyDescent="0.25">
      <c r="A255" s="11"/>
      <c r="B255" s="17"/>
      <c r="C255" s="30"/>
      <c r="D255" s="17"/>
      <c r="E255" s="17"/>
      <c r="F255" s="25"/>
      <c r="G255" s="25">
        <f t="shared" si="1"/>
        <v>0</v>
      </c>
      <c r="H255" s="17"/>
      <c r="I255" s="17"/>
      <c r="J255" s="17"/>
    </row>
    <row r="256" spans="1:10" x14ac:dyDescent="0.25">
      <c r="A256" s="11"/>
      <c r="B256" s="17"/>
      <c r="C256" s="30"/>
      <c r="D256" s="17"/>
      <c r="E256" s="17"/>
      <c r="F256" s="25"/>
      <c r="G256" s="25">
        <f t="shared" si="1"/>
        <v>0</v>
      </c>
      <c r="H256" s="17"/>
      <c r="I256" s="17"/>
      <c r="J256" s="17"/>
    </row>
    <row r="257" spans="1:10" x14ac:dyDescent="0.25">
      <c r="A257" s="11"/>
      <c r="B257" s="17"/>
      <c r="C257" s="30"/>
      <c r="D257" s="17"/>
      <c r="E257" s="17"/>
      <c r="F257" s="25"/>
      <c r="G257" s="25">
        <f t="shared" si="1"/>
        <v>0</v>
      </c>
      <c r="H257" s="17"/>
      <c r="I257" s="17"/>
      <c r="J257" s="17"/>
    </row>
    <row r="258" spans="1:10" x14ac:dyDescent="0.25">
      <c r="A258" s="11"/>
      <c r="B258" s="17"/>
      <c r="C258" s="30"/>
      <c r="D258" s="17"/>
      <c r="E258" s="17"/>
      <c r="F258" s="25"/>
      <c r="G258" s="25">
        <f t="shared" si="1"/>
        <v>0</v>
      </c>
      <c r="H258" s="17"/>
      <c r="I258" s="17"/>
      <c r="J258" s="17"/>
    </row>
    <row r="259" spans="1:10" x14ac:dyDescent="0.25">
      <c r="A259" s="11"/>
      <c r="B259" s="17"/>
      <c r="C259" s="30"/>
      <c r="D259" s="17"/>
      <c r="E259" s="17"/>
      <c r="F259" s="25"/>
      <c r="G259" s="25">
        <f t="shared" si="1"/>
        <v>0</v>
      </c>
      <c r="H259" s="17"/>
      <c r="I259" s="17"/>
      <c r="J259" s="17"/>
    </row>
    <row r="260" spans="1:10" x14ac:dyDescent="0.25">
      <c r="A260" s="11"/>
      <c r="B260" s="17"/>
      <c r="C260" s="30"/>
      <c r="D260" s="17"/>
      <c r="E260" s="17"/>
      <c r="F260" s="25"/>
      <c r="G260" s="25">
        <f t="shared" si="1"/>
        <v>0</v>
      </c>
      <c r="H260" s="17"/>
      <c r="I260" s="17"/>
      <c r="J260" s="17"/>
    </row>
    <row r="261" spans="1:10" x14ac:dyDescent="0.25">
      <c r="A261" s="11"/>
      <c r="B261" s="17"/>
      <c r="C261" s="30"/>
      <c r="D261" s="17"/>
      <c r="E261" s="17"/>
      <c r="F261" s="25"/>
      <c r="G261" s="25">
        <f t="shared" ref="G261:G263" si="5">IF(B261="Saída", -ABS(F261), ABS(F261))</f>
        <v>0</v>
      </c>
      <c r="H261" s="17"/>
      <c r="I261" s="17"/>
      <c r="J261" s="17"/>
    </row>
    <row r="262" spans="1:10" x14ac:dyDescent="0.25">
      <c r="A262" s="11"/>
      <c r="B262" s="17"/>
      <c r="C262" s="30"/>
      <c r="D262" s="17"/>
      <c r="E262" s="17"/>
      <c r="F262" s="25"/>
      <c r="G262" s="25">
        <f t="shared" si="5"/>
        <v>0</v>
      </c>
      <c r="H262" s="17"/>
      <c r="I262" s="17"/>
      <c r="J262" s="17"/>
    </row>
    <row r="263" spans="1:10" x14ac:dyDescent="0.25">
      <c r="A263" s="11"/>
      <c r="B263" s="17"/>
      <c r="C263" s="30"/>
      <c r="D263" s="17"/>
      <c r="E263" s="17"/>
      <c r="F263" s="25"/>
      <c r="G263" s="25">
        <f t="shared" si="5"/>
        <v>0</v>
      </c>
      <c r="H263" s="17"/>
      <c r="I263" s="17"/>
      <c r="J263" s="17"/>
    </row>
    <row r="264" spans="1:10" x14ac:dyDescent="0.25">
      <c r="A264" s="17"/>
      <c r="B264" s="17"/>
      <c r="C264" s="30"/>
      <c r="D264" s="17"/>
      <c r="E264" s="17"/>
      <c r="F264" s="17"/>
      <c r="G264" s="17"/>
      <c r="H264" s="17"/>
      <c r="I264" s="17"/>
      <c r="J264" s="17"/>
    </row>
    <row r="265" spans="1:10" x14ac:dyDescent="0.25">
      <c r="A265" s="17"/>
      <c r="B265" s="17"/>
      <c r="C265" s="30"/>
      <c r="D265" s="17"/>
      <c r="E265" s="17"/>
      <c r="F265" s="17"/>
      <c r="G265" s="17"/>
      <c r="H265" s="17"/>
      <c r="I265" s="17"/>
      <c r="J265" s="17"/>
    </row>
    <row r="266" spans="1:10" x14ac:dyDescent="0.25">
      <c r="A266" s="17"/>
      <c r="B266" s="17"/>
      <c r="C266" s="30"/>
      <c r="D266" s="17"/>
      <c r="E266" s="17"/>
      <c r="F266" s="17"/>
      <c r="G266" s="17"/>
      <c r="H266" s="17"/>
      <c r="I266" s="17"/>
      <c r="J266" s="17"/>
    </row>
    <row r="267" spans="1:10" x14ac:dyDescent="0.25">
      <c r="A267" s="17"/>
      <c r="B267" s="17"/>
      <c r="C267" s="30"/>
      <c r="D267" s="17"/>
      <c r="E267" s="17"/>
      <c r="F267" s="17"/>
      <c r="G267" s="17"/>
      <c r="H267" s="17"/>
      <c r="I267" s="17"/>
      <c r="J267" s="17"/>
    </row>
    <row r="268" spans="1:10" x14ac:dyDescent="0.25">
      <c r="A268" s="17"/>
      <c r="B268" s="17"/>
      <c r="C268" s="30"/>
      <c r="D268" s="17"/>
      <c r="E268" s="17"/>
      <c r="F268" s="17"/>
      <c r="G268" s="17"/>
      <c r="H268" s="17"/>
      <c r="I268" s="17"/>
      <c r="J268" s="17"/>
    </row>
    <row r="269" spans="1:10" x14ac:dyDescent="0.25">
      <c r="A269" s="17"/>
      <c r="B269" s="17"/>
      <c r="C269" s="30"/>
      <c r="D269" s="17"/>
      <c r="E269" s="17"/>
      <c r="F269" s="17"/>
      <c r="G269" s="17"/>
      <c r="H269" s="17"/>
      <c r="I269" s="17"/>
      <c r="J269" s="17"/>
    </row>
    <row r="270" spans="1:10" x14ac:dyDescent="0.25">
      <c r="A270" s="17"/>
      <c r="B270" s="17"/>
      <c r="C270" s="30"/>
      <c r="D270" s="17"/>
      <c r="E270" s="17"/>
      <c r="F270" s="17"/>
      <c r="G270" s="17"/>
      <c r="H270" s="17"/>
      <c r="I270" s="17"/>
      <c r="J270" s="17"/>
    </row>
    <row r="271" spans="1:10" x14ac:dyDescent="0.25">
      <c r="A271" s="17"/>
      <c r="B271" s="17"/>
      <c r="C271" s="30"/>
      <c r="D271" s="17"/>
      <c r="E271" s="17"/>
      <c r="F271" s="17"/>
      <c r="G271" s="17"/>
      <c r="H271" s="17"/>
      <c r="I271" s="17"/>
      <c r="J271" s="17"/>
    </row>
    <row r="272" spans="1:10" x14ac:dyDescent="0.25">
      <c r="A272" s="17"/>
      <c r="B272" s="17"/>
      <c r="C272" s="30"/>
      <c r="D272" s="17"/>
      <c r="E272" s="17"/>
      <c r="F272" s="17"/>
      <c r="G272" s="17"/>
      <c r="H272" s="17"/>
      <c r="I272" s="17"/>
      <c r="J272" s="17"/>
    </row>
    <row r="273" spans="1:10" x14ac:dyDescent="0.25">
      <c r="A273" s="17"/>
      <c r="B273" s="17"/>
      <c r="C273" s="30"/>
      <c r="D273" s="17"/>
      <c r="E273" s="17"/>
      <c r="F273" s="17"/>
      <c r="G273" s="17"/>
      <c r="H273" s="17"/>
      <c r="I273" s="17"/>
      <c r="J273" s="17"/>
    </row>
    <row r="274" spans="1:10" x14ac:dyDescent="0.25">
      <c r="A274" s="17"/>
      <c r="B274" s="17"/>
      <c r="C274" s="30"/>
      <c r="D274" s="17"/>
      <c r="E274" s="17"/>
      <c r="F274" s="17"/>
      <c r="G274" s="17"/>
      <c r="H274" s="17"/>
      <c r="I274" s="17"/>
      <c r="J274" s="17"/>
    </row>
    <row r="275" spans="1:10" x14ac:dyDescent="0.25">
      <c r="A275" s="17"/>
      <c r="B275" s="17"/>
      <c r="C275" s="30"/>
      <c r="D275" s="17"/>
      <c r="E275" s="17"/>
      <c r="F275" s="17"/>
      <c r="G275" s="17"/>
      <c r="H275" s="17"/>
      <c r="I275" s="17"/>
      <c r="J275" s="17"/>
    </row>
    <row r="276" spans="1:10" x14ac:dyDescent="0.25">
      <c r="A276" s="17"/>
      <c r="B276" s="17"/>
      <c r="C276" s="30"/>
      <c r="D276" s="17"/>
      <c r="E276" s="17"/>
      <c r="F276" s="17"/>
      <c r="G276" s="17"/>
      <c r="H276" s="17"/>
      <c r="I276" s="17"/>
      <c r="J276" s="17"/>
    </row>
    <row r="277" spans="1:10" x14ac:dyDescent="0.25">
      <c r="A277" s="17"/>
      <c r="B277" s="17"/>
      <c r="C277" s="30"/>
      <c r="D277" s="17"/>
      <c r="E277" s="17"/>
      <c r="F277" s="17"/>
      <c r="G277" s="17"/>
      <c r="H277" s="17"/>
      <c r="I277" s="17"/>
    </row>
    <row r="278" spans="1:10" x14ac:dyDescent="0.25">
      <c r="A278" s="17"/>
      <c r="B278" s="17"/>
      <c r="C278" s="30"/>
      <c r="D278" s="17"/>
      <c r="E278" s="17"/>
      <c r="F278" s="17"/>
      <c r="G278" s="17"/>
      <c r="H278" s="17"/>
      <c r="I278" s="17"/>
    </row>
    <row r="279" spans="1:10" x14ac:dyDescent="0.25">
      <c r="A279" s="17"/>
      <c r="B279" s="17"/>
      <c r="C279" s="30"/>
      <c r="D279" s="17"/>
      <c r="E279" s="17"/>
      <c r="F279" s="17"/>
      <c r="G279" s="17"/>
      <c r="H279" s="17"/>
      <c r="I279" s="17"/>
    </row>
    <row r="280" spans="1:10" x14ac:dyDescent="0.25">
      <c r="A280" s="17"/>
      <c r="B280" s="17"/>
      <c r="C280" s="30"/>
      <c r="D280" s="17"/>
      <c r="E280" s="17"/>
      <c r="F280" s="17"/>
      <c r="G280" s="17"/>
      <c r="H280" s="17"/>
      <c r="I280" s="17"/>
    </row>
    <row r="281" spans="1:10" x14ac:dyDescent="0.25">
      <c r="A281" s="17"/>
      <c r="B281" s="17"/>
      <c r="C281" s="30"/>
      <c r="D281" s="17"/>
      <c r="E281" s="17"/>
      <c r="F281" s="17"/>
      <c r="G281" s="17"/>
      <c r="H281" s="17"/>
      <c r="I281" s="17"/>
    </row>
    <row r="282" spans="1:10" x14ac:dyDescent="0.25">
      <c r="A282" s="17"/>
      <c r="B282" s="17"/>
      <c r="C282" s="30"/>
      <c r="D282" s="17"/>
      <c r="E282" s="17"/>
      <c r="F282" s="17"/>
      <c r="G282" s="17"/>
      <c r="H282" s="17"/>
      <c r="I282" s="17"/>
    </row>
    <row r="283" spans="1:10" x14ac:dyDescent="0.25">
      <c r="A283" s="17"/>
      <c r="B283" s="17"/>
      <c r="C283" s="30"/>
      <c r="D283" s="17"/>
      <c r="E283" s="17"/>
      <c r="F283" s="17"/>
      <c r="G283" s="17"/>
      <c r="H283" s="17"/>
      <c r="I283" s="17"/>
    </row>
    <row r="284" spans="1:10" x14ac:dyDescent="0.25">
      <c r="A284" s="17"/>
      <c r="B284" s="17"/>
      <c r="C284" s="30"/>
      <c r="D284" s="17"/>
      <c r="E284" s="17"/>
      <c r="F284" s="17"/>
      <c r="G284" s="17"/>
      <c r="H284" s="17"/>
      <c r="I284" s="17"/>
    </row>
    <row r="285" spans="1:10" x14ac:dyDescent="0.25">
      <c r="A285" s="17"/>
      <c r="B285" s="17"/>
      <c r="C285" s="30"/>
      <c r="D285" s="17"/>
      <c r="E285" s="17"/>
      <c r="F285" s="17"/>
      <c r="G285" s="17"/>
      <c r="H285" s="17"/>
      <c r="I285" s="17"/>
    </row>
    <row r="286" spans="1:10" x14ac:dyDescent="0.25">
      <c r="A286" s="17"/>
      <c r="B286" s="17"/>
      <c r="C286" s="30"/>
      <c r="D286" s="17"/>
      <c r="E286" s="17"/>
      <c r="F286" s="17"/>
      <c r="G286" s="17"/>
      <c r="H286" s="17"/>
      <c r="I286" s="17"/>
    </row>
    <row r="287" spans="1:10" x14ac:dyDescent="0.25">
      <c r="A287" s="17"/>
      <c r="B287" s="17"/>
      <c r="C287" s="30"/>
      <c r="D287" s="17"/>
      <c r="E287" s="17"/>
      <c r="F287" s="17"/>
      <c r="G287" s="17"/>
      <c r="H287" s="17"/>
      <c r="I287" s="17"/>
    </row>
    <row r="288" spans="1:10" x14ac:dyDescent="0.25">
      <c r="A288" s="17"/>
      <c r="B288" s="17"/>
      <c r="C288" s="30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30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30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30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30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30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30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30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30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30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30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30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30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30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30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30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30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30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30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30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30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30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30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30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30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30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30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30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30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30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30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30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30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30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30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30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30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30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30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30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30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30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30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30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30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30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30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30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30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30"/>
      <c r="D337" s="17"/>
      <c r="E337" s="17"/>
      <c r="F337" s="17"/>
      <c r="G337" s="17"/>
      <c r="H337" s="17"/>
      <c r="I337" s="17"/>
    </row>
    <row r="338" spans="1:9" x14ac:dyDescent="0.25">
      <c r="A338" s="17"/>
      <c r="B338" s="17"/>
      <c r="C338" s="30"/>
      <c r="D338" s="17"/>
      <c r="E338" s="17"/>
      <c r="F338" s="17"/>
      <c r="G338" s="17"/>
      <c r="H338" s="17"/>
      <c r="I338" s="17"/>
    </row>
    <row r="339" spans="1:9" x14ac:dyDescent="0.25">
      <c r="A339" s="17"/>
      <c r="B339" s="17"/>
      <c r="C339" s="30"/>
      <c r="D339" s="17"/>
      <c r="E339" s="17"/>
      <c r="F339" s="17"/>
      <c r="G339" s="17"/>
      <c r="H339" s="17"/>
      <c r="I339" s="17"/>
    </row>
    <row r="340" spans="1:9" x14ac:dyDescent="0.25">
      <c r="A340" s="17"/>
      <c r="B340" s="17"/>
      <c r="C340" s="30"/>
      <c r="D340" s="17"/>
      <c r="E340" s="17"/>
      <c r="F340" s="17"/>
      <c r="G340" s="17"/>
      <c r="H340" s="17"/>
      <c r="I340" s="17"/>
    </row>
    <row r="341" spans="1:9" x14ac:dyDescent="0.25">
      <c r="A341" s="17"/>
      <c r="B341" s="17"/>
      <c r="C341" s="30"/>
      <c r="D341" s="17"/>
      <c r="E341" s="17"/>
      <c r="F341" s="17"/>
      <c r="G341" s="17"/>
      <c r="H341" s="17"/>
      <c r="I341" s="17"/>
    </row>
    <row r="342" spans="1:9" x14ac:dyDescent="0.25">
      <c r="A342" s="17"/>
      <c r="B342" s="17"/>
      <c r="C342" s="30"/>
      <c r="D342" s="17"/>
      <c r="E342" s="17"/>
      <c r="F342" s="17"/>
      <c r="G342" s="17"/>
      <c r="H342" s="17"/>
      <c r="I342" s="17"/>
    </row>
    <row r="343" spans="1:9" x14ac:dyDescent="0.25">
      <c r="A343" s="17"/>
      <c r="B343" s="17"/>
      <c r="C343" s="30"/>
      <c r="D343" s="17"/>
      <c r="E343" s="17"/>
      <c r="F343" s="17"/>
      <c r="G343" s="17"/>
      <c r="H343" s="17"/>
      <c r="I343" s="17"/>
    </row>
    <row r="344" spans="1:9" x14ac:dyDescent="0.25">
      <c r="A344" s="17"/>
      <c r="B344" s="17"/>
      <c r="C344" s="30"/>
      <c r="D344" s="17"/>
      <c r="E344" s="17"/>
      <c r="F344" s="17"/>
      <c r="G344" s="17"/>
      <c r="H344" s="17"/>
      <c r="I344" s="17"/>
    </row>
    <row r="345" spans="1:9" x14ac:dyDescent="0.25">
      <c r="A345" s="17"/>
      <c r="B345" s="17"/>
      <c r="C345" s="30"/>
      <c r="D345" s="17"/>
      <c r="E345" s="17"/>
      <c r="F345" s="17"/>
      <c r="G345" s="17"/>
      <c r="H345" s="17"/>
      <c r="I345" s="17"/>
    </row>
    <row r="346" spans="1:9" x14ac:dyDescent="0.25">
      <c r="A346" s="17"/>
      <c r="B346" s="17"/>
      <c r="C346" s="30"/>
      <c r="D346" s="17"/>
      <c r="E346" s="17"/>
      <c r="F346" s="17"/>
      <c r="G346" s="17"/>
      <c r="H346" s="17"/>
      <c r="I346" s="17"/>
    </row>
    <row r="347" spans="1:9" x14ac:dyDescent="0.25">
      <c r="A347" s="17"/>
      <c r="B347" s="17"/>
      <c r="C347" s="30"/>
      <c r="D347" s="17"/>
      <c r="E347" s="17"/>
      <c r="F347" s="17"/>
      <c r="G347" s="17"/>
      <c r="H347" s="17"/>
      <c r="I347" s="17"/>
    </row>
    <row r="348" spans="1:9" x14ac:dyDescent="0.25">
      <c r="A348" s="17"/>
      <c r="B348" s="17"/>
      <c r="C348" s="30"/>
      <c r="D348" s="17"/>
      <c r="E348" s="17"/>
      <c r="F348" s="17"/>
      <c r="G348" s="17"/>
      <c r="H348" s="17"/>
      <c r="I348" s="17"/>
    </row>
    <row r="349" spans="1:9" x14ac:dyDescent="0.25">
      <c r="A349" s="17"/>
      <c r="B349" s="17"/>
      <c r="C349" s="30"/>
      <c r="D349" s="17"/>
      <c r="E349" s="17"/>
      <c r="F349" s="17"/>
      <c r="G349" s="17"/>
      <c r="H349" s="17"/>
      <c r="I349" s="17"/>
    </row>
    <row r="350" spans="1:9" x14ac:dyDescent="0.25">
      <c r="A350" s="17"/>
      <c r="B350" s="17"/>
      <c r="C350" s="30"/>
      <c r="D350" s="17"/>
      <c r="E350" s="17"/>
      <c r="F350" s="17"/>
      <c r="G350" s="17"/>
      <c r="H350" s="17"/>
      <c r="I350" s="17"/>
    </row>
    <row r="351" spans="1:9" x14ac:dyDescent="0.25">
      <c r="A351" s="17"/>
      <c r="B351" s="17"/>
      <c r="C351" s="30"/>
      <c r="D351" s="17"/>
      <c r="E351" s="17"/>
      <c r="F351" s="17"/>
      <c r="G351" s="17"/>
      <c r="H351" s="17"/>
      <c r="I351" s="17"/>
    </row>
    <row r="352" spans="1:9" x14ac:dyDescent="0.25">
      <c r="A352" s="17"/>
      <c r="B352" s="17"/>
      <c r="C352" s="30"/>
      <c r="D352" s="17"/>
      <c r="E352" s="17"/>
      <c r="F352" s="17"/>
      <c r="G352" s="17"/>
      <c r="H352" s="17"/>
      <c r="I352" s="17"/>
    </row>
    <row r="353" spans="1:9" x14ac:dyDescent="0.25">
      <c r="A353" s="17"/>
      <c r="B353" s="17"/>
      <c r="C353" s="30"/>
      <c r="D353" s="17"/>
      <c r="E353" s="17"/>
      <c r="F353" s="17"/>
      <c r="G353" s="17"/>
      <c r="H353" s="17"/>
      <c r="I353" s="17"/>
    </row>
    <row r="354" spans="1:9" x14ac:dyDescent="0.25">
      <c r="A354" s="17"/>
      <c r="B354" s="17"/>
      <c r="C354" s="30"/>
      <c r="D354" s="17"/>
      <c r="E354" s="17"/>
      <c r="F354" s="17"/>
      <c r="G354" s="17"/>
      <c r="H354" s="17"/>
      <c r="I354" s="17"/>
    </row>
    <row r="355" spans="1:9" x14ac:dyDescent="0.25">
      <c r="A355" s="17"/>
      <c r="B355" s="17"/>
      <c r="C355" s="30"/>
      <c r="D355" s="17"/>
      <c r="E355" s="17"/>
      <c r="F355" s="17"/>
      <c r="G355" s="17"/>
      <c r="H355" s="17"/>
      <c r="I355" s="17"/>
    </row>
    <row r="356" spans="1:9" x14ac:dyDescent="0.25">
      <c r="A356" s="17"/>
      <c r="B356" s="17"/>
      <c r="C356" s="30"/>
      <c r="D356" s="17"/>
      <c r="E356" s="17"/>
      <c r="F356" s="17"/>
      <c r="G356" s="17"/>
      <c r="H356" s="17"/>
      <c r="I356" s="17"/>
    </row>
    <row r="357" spans="1:9" x14ac:dyDescent="0.25">
      <c r="A357" s="17"/>
      <c r="B357" s="17"/>
      <c r="C357" s="30"/>
      <c r="D357" s="17"/>
      <c r="E357" s="17"/>
      <c r="F357" s="17"/>
      <c r="G357" s="17"/>
      <c r="H357" s="17"/>
      <c r="I357" s="17"/>
    </row>
    <row r="358" spans="1:9" x14ac:dyDescent="0.25">
      <c r="A358" s="17"/>
      <c r="B358" s="17"/>
      <c r="C358" s="30"/>
      <c r="D358" s="17"/>
      <c r="E358" s="17"/>
      <c r="F358" s="17"/>
      <c r="G358" s="17"/>
      <c r="H358" s="17"/>
      <c r="I358" s="17"/>
    </row>
    <row r="359" spans="1:9" x14ac:dyDescent="0.25">
      <c r="A359" s="17"/>
      <c r="B359" s="17"/>
      <c r="C359" s="30"/>
      <c r="D359" s="17"/>
      <c r="E359" s="17"/>
      <c r="F359" s="17"/>
      <c r="G359" s="17"/>
      <c r="H359" s="17"/>
      <c r="I359" s="17"/>
    </row>
    <row r="360" spans="1:9" x14ac:dyDescent="0.25">
      <c r="A360" s="17"/>
      <c r="B360" s="17"/>
      <c r="C360" s="30"/>
      <c r="D360" s="17"/>
      <c r="E360" s="17"/>
      <c r="F360" s="17"/>
      <c r="G360" s="17"/>
      <c r="H360" s="17"/>
      <c r="I360" s="17"/>
    </row>
    <row r="361" spans="1:9" x14ac:dyDescent="0.25">
      <c r="A361" s="17"/>
      <c r="B361" s="17"/>
      <c r="C361" s="30"/>
      <c r="D361" s="17"/>
      <c r="E361" s="17"/>
      <c r="F361" s="17"/>
      <c r="G361" s="17"/>
      <c r="H361" s="17"/>
      <c r="I361" s="17"/>
    </row>
    <row r="362" spans="1:9" x14ac:dyDescent="0.25">
      <c r="A362" s="17"/>
      <c r="B362" s="17"/>
      <c r="C362" s="30"/>
      <c r="D362" s="17"/>
      <c r="E362" s="17"/>
      <c r="F362" s="17"/>
      <c r="G362" s="17"/>
      <c r="H362" s="17"/>
      <c r="I362" s="17"/>
    </row>
    <row r="363" spans="1:9" x14ac:dyDescent="0.25">
      <c r="A363" s="17"/>
      <c r="B363" s="17"/>
      <c r="C363" s="30"/>
      <c r="D363" s="17"/>
      <c r="E363" s="17"/>
      <c r="F363" s="17"/>
      <c r="G363" s="17"/>
      <c r="H363" s="17"/>
      <c r="I363" s="17"/>
    </row>
    <row r="364" spans="1:9" x14ac:dyDescent="0.25">
      <c r="A364" s="17"/>
      <c r="B364" s="17"/>
      <c r="C364" s="30"/>
      <c r="D364" s="17"/>
      <c r="E364" s="17"/>
      <c r="F364" s="17"/>
      <c r="G364" s="17"/>
      <c r="H364" s="17"/>
      <c r="I364" s="17"/>
    </row>
    <row r="365" spans="1:9" x14ac:dyDescent="0.25">
      <c r="A365" s="17"/>
      <c r="B365" s="17"/>
      <c r="C365" s="30"/>
      <c r="D365" s="17"/>
      <c r="E365" s="17"/>
      <c r="F365" s="17"/>
      <c r="G365" s="17"/>
      <c r="H365" s="17"/>
      <c r="I365" s="17"/>
    </row>
    <row r="366" spans="1:9" x14ac:dyDescent="0.25">
      <c r="A366" s="17"/>
      <c r="B366" s="17"/>
      <c r="C366" s="30"/>
      <c r="D366" s="17"/>
      <c r="E366" s="17"/>
      <c r="F366" s="17"/>
      <c r="G366" s="17"/>
      <c r="H366" s="17"/>
      <c r="I366" s="17"/>
    </row>
    <row r="367" spans="1:9" x14ac:dyDescent="0.25">
      <c r="A367" s="17"/>
      <c r="B367" s="17"/>
      <c r="C367" s="30"/>
      <c r="D367" s="17"/>
      <c r="E367" s="17"/>
      <c r="F367" s="17"/>
      <c r="G367" s="17"/>
      <c r="H367" s="17"/>
      <c r="I367" s="17"/>
    </row>
    <row r="368" spans="1:9" x14ac:dyDescent="0.25">
      <c r="A368" s="17"/>
      <c r="B368" s="17"/>
      <c r="C368" s="30"/>
      <c r="D368" s="17"/>
      <c r="E368" s="17"/>
      <c r="F368" s="17"/>
      <c r="G368" s="17"/>
      <c r="H368" s="17"/>
      <c r="I368" s="17"/>
    </row>
    <row r="369" spans="1:9" x14ac:dyDescent="0.25">
      <c r="A369" s="17"/>
      <c r="B369" s="17"/>
      <c r="C369" s="30"/>
      <c r="D369" s="17"/>
      <c r="E369" s="17"/>
      <c r="F369" s="17"/>
      <c r="G369" s="17"/>
      <c r="H369" s="17"/>
      <c r="I369" s="17"/>
    </row>
    <row r="370" spans="1:9" x14ac:dyDescent="0.25">
      <c r="A370" s="17"/>
      <c r="B370" s="17"/>
      <c r="C370" s="30"/>
      <c r="D370" s="17"/>
      <c r="E370" s="17"/>
      <c r="F370" s="17"/>
      <c r="G370" s="17"/>
      <c r="H370" s="17"/>
      <c r="I370" s="17"/>
    </row>
    <row r="371" spans="1:9" x14ac:dyDescent="0.25">
      <c r="A371" s="17"/>
      <c r="B371" s="17"/>
      <c r="C371" s="30"/>
      <c r="D371" s="17"/>
      <c r="E371" s="17"/>
      <c r="F371" s="17"/>
      <c r="G371" s="17"/>
      <c r="H371" s="17"/>
      <c r="I371" s="17"/>
    </row>
    <row r="372" spans="1:9" x14ac:dyDescent="0.25">
      <c r="A372" s="17"/>
      <c r="B372" s="17"/>
      <c r="C372" s="30"/>
      <c r="D372" s="17"/>
      <c r="E372" s="17"/>
      <c r="F372" s="17"/>
      <c r="G372" s="17"/>
      <c r="H372" s="17"/>
      <c r="I372" s="17"/>
    </row>
    <row r="373" spans="1:9" x14ac:dyDescent="0.25">
      <c r="A373" s="17"/>
      <c r="B373" s="17"/>
      <c r="C373" s="30"/>
      <c r="D373" s="17"/>
      <c r="E373" s="17"/>
      <c r="F373" s="17"/>
      <c r="G373" s="17"/>
      <c r="H373" s="17"/>
      <c r="I373" s="17"/>
    </row>
    <row r="374" spans="1:9" x14ac:dyDescent="0.25">
      <c r="A374" s="17"/>
      <c r="B374" s="17"/>
      <c r="C374" s="30"/>
      <c r="D374" s="17"/>
      <c r="E374" s="17"/>
      <c r="F374" s="17"/>
      <c r="G374" s="17"/>
      <c r="H374" s="17"/>
      <c r="I374" s="17"/>
    </row>
    <row r="375" spans="1:9" x14ac:dyDescent="0.25">
      <c r="A375" s="17"/>
      <c r="B375" s="17"/>
      <c r="C375" s="30"/>
      <c r="D375" s="17"/>
      <c r="E375" s="17"/>
      <c r="F375" s="17"/>
      <c r="G375" s="17"/>
      <c r="H375" s="17"/>
      <c r="I375" s="17"/>
    </row>
    <row r="376" spans="1:9" x14ac:dyDescent="0.25">
      <c r="A376" s="17"/>
      <c r="B376" s="17"/>
      <c r="C376" s="30"/>
      <c r="D376" s="17"/>
      <c r="E376" s="17"/>
      <c r="F376" s="17"/>
      <c r="G376" s="17"/>
      <c r="H376" s="17"/>
      <c r="I376" s="17"/>
    </row>
    <row r="377" spans="1:9" x14ac:dyDescent="0.25">
      <c r="A377" s="17"/>
      <c r="B377" s="17"/>
      <c r="C377" s="30"/>
      <c r="D377" s="17"/>
      <c r="E377" s="17"/>
      <c r="F377" s="17"/>
      <c r="G377" s="17"/>
      <c r="H377" s="17"/>
      <c r="I377" s="17"/>
    </row>
    <row r="378" spans="1:9" x14ac:dyDescent="0.25">
      <c r="A378" s="17"/>
      <c r="B378" s="17"/>
      <c r="C378" s="30"/>
      <c r="D378" s="17"/>
      <c r="E378" s="17"/>
      <c r="F378" s="17"/>
      <c r="G378" s="17"/>
      <c r="H378" s="17"/>
      <c r="I378" s="17"/>
    </row>
    <row r="379" spans="1:9" x14ac:dyDescent="0.25">
      <c r="A379" s="17"/>
      <c r="B379" s="17"/>
      <c r="C379" s="30"/>
      <c r="D379" s="17"/>
      <c r="E379" s="17"/>
      <c r="F379" s="17"/>
      <c r="G379" s="17"/>
      <c r="H379" s="17"/>
      <c r="I379" s="17"/>
    </row>
    <row r="380" spans="1:9" x14ac:dyDescent="0.25">
      <c r="A380" s="17"/>
      <c r="B380" s="17"/>
      <c r="C380" s="30"/>
      <c r="D380" s="17"/>
      <c r="E380" s="17"/>
      <c r="F380" s="17"/>
      <c r="G380" s="17"/>
      <c r="H380" s="17"/>
      <c r="I380" s="17"/>
    </row>
    <row r="381" spans="1:9" x14ac:dyDescent="0.25">
      <c r="A381" s="17"/>
      <c r="B381" s="17"/>
      <c r="C381" s="30"/>
      <c r="D381" s="17"/>
      <c r="E381" s="17"/>
      <c r="F381" s="17"/>
      <c r="G381" s="17"/>
      <c r="H381" s="17"/>
      <c r="I381" s="17"/>
    </row>
    <row r="382" spans="1:9" x14ac:dyDescent="0.25">
      <c r="A382" s="17"/>
      <c r="B382" s="17"/>
      <c r="C382" s="30"/>
      <c r="D382" s="17"/>
      <c r="E382" s="17"/>
      <c r="F382" s="17"/>
      <c r="G382" s="17"/>
      <c r="H382" s="17"/>
      <c r="I382" s="17"/>
    </row>
    <row r="383" spans="1:9" x14ac:dyDescent="0.25">
      <c r="A383" s="17"/>
      <c r="B383" s="17"/>
      <c r="C383" s="30"/>
      <c r="D383" s="17"/>
      <c r="E383" s="17"/>
      <c r="F383" s="17"/>
      <c r="G383" s="17"/>
      <c r="H383" s="17"/>
      <c r="I383" s="17"/>
    </row>
    <row r="384" spans="1:9" x14ac:dyDescent="0.25">
      <c r="A384" s="17"/>
      <c r="B384" s="17"/>
      <c r="C384" s="30"/>
      <c r="D384" s="17"/>
      <c r="E384" s="17"/>
      <c r="F384" s="17"/>
      <c r="G384" s="17"/>
      <c r="H384" s="17"/>
      <c r="I384" s="17"/>
    </row>
    <row r="385" spans="1:9" x14ac:dyDescent="0.25">
      <c r="A385" s="17"/>
      <c r="B385" s="17"/>
      <c r="C385" s="30"/>
      <c r="D385" s="17"/>
      <c r="E385" s="17"/>
      <c r="F385" s="17"/>
      <c r="G385" s="17"/>
      <c r="H385" s="17"/>
      <c r="I385" s="17"/>
    </row>
    <row r="386" spans="1:9" x14ac:dyDescent="0.25">
      <c r="A386" s="17"/>
      <c r="B386" s="17"/>
      <c r="C386" s="30"/>
      <c r="D386" s="17"/>
      <c r="E386" s="17"/>
      <c r="F386" s="17"/>
      <c r="G386" s="17"/>
      <c r="H386" s="17"/>
      <c r="I386" s="17"/>
    </row>
    <row r="387" spans="1:9" x14ac:dyDescent="0.25">
      <c r="A387" s="17"/>
      <c r="B387" s="17"/>
      <c r="C387" s="30"/>
      <c r="D387" s="17"/>
      <c r="E387" s="17"/>
      <c r="F387" s="17"/>
      <c r="G387" s="17"/>
      <c r="H387" s="17"/>
      <c r="I387" s="17"/>
    </row>
    <row r="388" spans="1:9" x14ac:dyDescent="0.25">
      <c r="A388" s="17"/>
      <c r="B388" s="17"/>
      <c r="C388" s="30"/>
      <c r="D388" s="17"/>
      <c r="E388" s="17"/>
      <c r="F388" s="17"/>
      <c r="G388" s="17"/>
      <c r="H388" s="17"/>
      <c r="I388" s="17"/>
    </row>
    <row r="389" spans="1:9" x14ac:dyDescent="0.25">
      <c r="A389" s="17"/>
      <c r="B389" s="17"/>
      <c r="C389" s="30"/>
      <c r="D389" s="17"/>
      <c r="E389" s="17"/>
      <c r="F389" s="17"/>
      <c r="G389" s="17"/>
      <c r="H389" s="17"/>
      <c r="I389" s="17"/>
    </row>
    <row r="390" spans="1:9" x14ac:dyDescent="0.25">
      <c r="A390" s="17"/>
      <c r="B390" s="17"/>
      <c r="C390" s="30"/>
      <c r="D390" s="17"/>
      <c r="E390" s="17"/>
      <c r="F390" s="17"/>
      <c r="G390" s="17"/>
      <c r="H390" s="17"/>
      <c r="I390" s="17"/>
    </row>
    <row r="391" spans="1:9" x14ac:dyDescent="0.25">
      <c r="A391" s="17"/>
      <c r="B391" s="17"/>
      <c r="C391" s="30"/>
      <c r="D391" s="17"/>
      <c r="E391" s="17"/>
      <c r="F391" s="17"/>
      <c r="G391" s="17"/>
      <c r="H391" s="17"/>
      <c r="I391" s="17"/>
    </row>
    <row r="392" spans="1:9" x14ac:dyDescent="0.25">
      <c r="A392" s="17"/>
      <c r="B392" s="17"/>
      <c r="C392" s="30"/>
      <c r="D392" s="17"/>
      <c r="E392" s="17"/>
      <c r="F392" s="17"/>
      <c r="G392" s="17"/>
      <c r="H392" s="17"/>
      <c r="I392" s="17"/>
    </row>
    <row r="393" spans="1:9" x14ac:dyDescent="0.25">
      <c r="A393" s="17"/>
      <c r="B393" s="17"/>
      <c r="C393" s="30"/>
      <c r="D393" s="17"/>
      <c r="E393" s="17"/>
      <c r="F393" s="17"/>
      <c r="G393" s="17"/>
      <c r="H393" s="17"/>
      <c r="I393" s="17"/>
    </row>
    <row r="394" spans="1:9" x14ac:dyDescent="0.25">
      <c r="A394" s="17"/>
      <c r="B394" s="17"/>
      <c r="C394" s="30"/>
      <c r="D394" s="17"/>
      <c r="E394" s="17"/>
      <c r="F394" s="17"/>
      <c r="G394" s="17"/>
      <c r="H394" s="17"/>
      <c r="I394" s="17"/>
    </row>
    <row r="395" spans="1:9" x14ac:dyDescent="0.25">
      <c r="A395" s="17"/>
      <c r="B395" s="17"/>
      <c r="C395" s="30"/>
      <c r="D395" s="17"/>
      <c r="E395" s="17"/>
      <c r="F395" s="17"/>
      <c r="G395" s="17"/>
      <c r="H395" s="17"/>
      <c r="I395" s="17"/>
    </row>
    <row r="396" spans="1:9" x14ac:dyDescent="0.25">
      <c r="A396" s="17"/>
      <c r="B396" s="17"/>
      <c r="C396" s="30"/>
      <c r="D396" s="17"/>
      <c r="E396" s="17"/>
      <c r="F396" s="17"/>
      <c r="G396" s="17"/>
      <c r="H396" s="17"/>
      <c r="I396" s="17"/>
    </row>
    <row r="397" spans="1:9" x14ac:dyDescent="0.25">
      <c r="A397" s="17"/>
      <c r="B397" s="17"/>
      <c r="C397" s="30"/>
      <c r="D397" s="17"/>
      <c r="E397" s="17"/>
      <c r="F397" s="17"/>
      <c r="G397" s="17"/>
      <c r="H397" s="17"/>
      <c r="I397" s="17"/>
    </row>
    <row r="398" spans="1:9" x14ac:dyDescent="0.25">
      <c r="A398" s="17"/>
      <c r="B398" s="17"/>
      <c r="C398" s="30"/>
      <c r="D398" s="17"/>
      <c r="E398" s="17"/>
      <c r="F398" s="17"/>
      <c r="G398" s="17"/>
      <c r="H398" s="17"/>
      <c r="I398" s="17"/>
    </row>
    <row r="399" spans="1:9" x14ac:dyDescent="0.25">
      <c r="A399" s="17"/>
      <c r="B399" s="17"/>
      <c r="C399" s="30"/>
      <c r="D399" s="17"/>
      <c r="E399" s="17"/>
      <c r="F399" s="17"/>
      <c r="G399" s="17"/>
      <c r="H399" s="17"/>
      <c r="I399" s="17"/>
    </row>
    <row r="400" spans="1:9" x14ac:dyDescent="0.25">
      <c r="A400" s="17"/>
      <c r="B400" s="17"/>
      <c r="C400" s="30"/>
      <c r="D400" s="17"/>
      <c r="E400" s="17"/>
      <c r="F400" s="17"/>
      <c r="G400" s="17"/>
      <c r="H400" s="17"/>
      <c r="I400" s="17"/>
    </row>
    <row r="401" spans="1:9" x14ac:dyDescent="0.25">
      <c r="A401" s="17"/>
      <c r="B401" s="17"/>
      <c r="C401" s="30"/>
      <c r="D401" s="17"/>
      <c r="E401" s="17"/>
      <c r="F401" s="17"/>
      <c r="G401" s="17"/>
      <c r="H401" s="17"/>
      <c r="I401" s="17"/>
    </row>
    <row r="402" spans="1:9" x14ac:dyDescent="0.25">
      <c r="A402" s="17"/>
      <c r="B402" s="17"/>
      <c r="C402" s="30"/>
      <c r="D402" s="17"/>
      <c r="E402" s="17"/>
      <c r="F402" s="17"/>
      <c r="G402" s="17"/>
      <c r="H402" s="17"/>
      <c r="I402" s="17"/>
    </row>
    <row r="403" spans="1:9" x14ac:dyDescent="0.25">
      <c r="A403" s="17"/>
      <c r="B403" s="17"/>
      <c r="C403" s="30"/>
      <c r="D403" s="17"/>
      <c r="E403" s="17"/>
      <c r="F403" s="17"/>
      <c r="G403" s="17"/>
      <c r="H403" s="17"/>
      <c r="I403" s="17"/>
    </row>
    <row r="404" spans="1:9" x14ac:dyDescent="0.25">
      <c r="A404" s="17"/>
      <c r="B404" s="17"/>
      <c r="C404" s="30"/>
      <c r="D404" s="17"/>
      <c r="E404" s="17"/>
      <c r="F404" s="17"/>
      <c r="G404" s="17"/>
      <c r="H404" s="17"/>
      <c r="I404" s="17"/>
    </row>
    <row r="405" spans="1:9" x14ac:dyDescent="0.25">
      <c r="A405" s="17"/>
      <c r="B405" s="17"/>
      <c r="C405" s="30"/>
      <c r="D405" s="17"/>
      <c r="E405" s="17"/>
      <c r="F405" s="17"/>
      <c r="G405" s="17"/>
      <c r="H405" s="17"/>
      <c r="I405" s="17"/>
    </row>
    <row r="406" spans="1:9" x14ac:dyDescent="0.25">
      <c r="A406" s="17"/>
      <c r="B406" s="17"/>
      <c r="C406" s="30"/>
      <c r="D406" s="17"/>
      <c r="E406" s="17"/>
      <c r="F406" s="17"/>
      <c r="G406" s="17"/>
      <c r="H406" s="17"/>
      <c r="I406" s="17"/>
    </row>
    <row r="407" spans="1:9" x14ac:dyDescent="0.25">
      <c r="A407" s="17"/>
      <c r="B407" s="17"/>
      <c r="C407" s="30"/>
      <c r="D407" s="17"/>
      <c r="E407" s="17"/>
      <c r="F407" s="17"/>
      <c r="G407" s="17"/>
      <c r="H407" s="17"/>
      <c r="I407" s="17"/>
    </row>
    <row r="408" spans="1:9" x14ac:dyDescent="0.25">
      <c r="A408" s="17"/>
      <c r="B408" s="17"/>
      <c r="C408" s="30"/>
      <c r="D408" s="17"/>
      <c r="E408" s="17"/>
      <c r="F408" s="17"/>
      <c r="G408" s="17"/>
      <c r="H408" s="17"/>
      <c r="I408" s="17"/>
    </row>
    <row r="409" spans="1:9" x14ac:dyDescent="0.25">
      <c r="A409" s="17"/>
      <c r="B409" s="17"/>
      <c r="C409" s="30"/>
      <c r="D409" s="17"/>
      <c r="E409" s="17"/>
      <c r="F409" s="17"/>
      <c r="G409" s="17"/>
      <c r="H409" s="17"/>
      <c r="I409" s="17"/>
    </row>
    <row r="410" spans="1:9" x14ac:dyDescent="0.25">
      <c r="A410" s="17"/>
      <c r="B410" s="17"/>
      <c r="C410" s="30"/>
      <c r="D410" s="17"/>
      <c r="E410" s="17"/>
      <c r="F410" s="17"/>
      <c r="G410" s="17"/>
      <c r="H410" s="17"/>
      <c r="I410" s="17"/>
    </row>
    <row r="411" spans="1:9" x14ac:dyDescent="0.25">
      <c r="A411" s="17"/>
      <c r="B411" s="17"/>
      <c r="C411" s="30"/>
      <c r="D411" s="17"/>
      <c r="E411" s="17"/>
      <c r="F411" s="17"/>
      <c r="G411" s="17"/>
      <c r="H411" s="17"/>
      <c r="I411" s="17"/>
    </row>
    <row r="412" spans="1:9" x14ac:dyDescent="0.25">
      <c r="A412" s="17"/>
      <c r="B412" s="17"/>
      <c r="C412" s="30"/>
      <c r="D412" s="17"/>
      <c r="E412" s="17"/>
      <c r="F412" s="17"/>
      <c r="G412" s="17"/>
      <c r="H412" s="17"/>
      <c r="I412" s="17"/>
    </row>
    <row r="413" spans="1:9" x14ac:dyDescent="0.25">
      <c r="A413" s="17"/>
      <c r="B413" s="17"/>
      <c r="C413" s="30"/>
      <c r="D413" s="17"/>
      <c r="E413" s="17"/>
      <c r="F413" s="17"/>
      <c r="G413" s="17"/>
      <c r="H413" s="17"/>
      <c r="I413" s="17"/>
    </row>
    <row r="414" spans="1:9" x14ac:dyDescent="0.25">
      <c r="A414" s="17"/>
      <c r="B414" s="17"/>
      <c r="C414" s="30"/>
      <c r="D414" s="17"/>
      <c r="E414" s="17"/>
      <c r="F414" s="17"/>
      <c r="G414" s="17"/>
      <c r="H414" s="17"/>
      <c r="I414" s="17"/>
    </row>
    <row r="415" spans="1:9" x14ac:dyDescent="0.25">
      <c r="A415" s="17"/>
      <c r="B415" s="17"/>
      <c r="C415" s="30"/>
      <c r="D415" s="17"/>
      <c r="E415" s="17"/>
      <c r="F415" s="17"/>
      <c r="G415" s="17"/>
      <c r="H415" s="17"/>
      <c r="I415" s="17"/>
    </row>
    <row r="416" spans="1:9" x14ac:dyDescent="0.25">
      <c r="A416" s="17"/>
      <c r="B416" s="17"/>
      <c r="C416" s="30"/>
      <c r="D416" s="17"/>
      <c r="E416" s="17"/>
      <c r="F416" s="17"/>
      <c r="G416" s="17"/>
      <c r="H416" s="17"/>
      <c r="I416" s="17"/>
    </row>
    <row r="417" spans="1:9" x14ac:dyDescent="0.25">
      <c r="A417" s="17"/>
      <c r="B417" s="17"/>
      <c r="C417" s="30"/>
      <c r="D417" s="17"/>
      <c r="E417" s="17"/>
      <c r="F417" s="17"/>
      <c r="G417" s="17"/>
      <c r="H417" s="17"/>
      <c r="I417" s="17"/>
    </row>
    <row r="418" spans="1:9" x14ac:dyDescent="0.25">
      <c r="A418" s="17"/>
      <c r="B418" s="17"/>
      <c r="C418" s="30"/>
      <c r="D418" s="17"/>
      <c r="E418" s="17"/>
      <c r="F418" s="17"/>
      <c r="G418" s="17"/>
      <c r="H418" s="17"/>
      <c r="I418" s="17"/>
    </row>
    <row r="419" spans="1:9" x14ac:dyDescent="0.25">
      <c r="A419" s="17"/>
      <c r="B419" s="17"/>
      <c r="C419" s="30"/>
      <c r="D419" s="17"/>
      <c r="E419" s="17"/>
      <c r="F419" s="17"/>
      <c r="G419" s="17"/>
      <c r="H419" s="17"/>
      <c r="I419" s="17"/>
    </row>
    <row r="420" spans="1:9" x14ac:dyDescent="0.25">
      <c r="A420" s="17"/>
      <c r="B420" s="17"/>
      <c r="C420" s="30"/>
      <c r="D420" s="17"/>
      <c r="E420" s="17"/>
      <c r="F420" s="17"/>
      <c r="G420" s="17"/>
      <c r="H420" s="17"/>
      <c r="I420" s="17"/>
    </row>
    <row r="421" spans="1:9" x14ac:dyDescent="0.25">
      <c r="A421" s="17"/>
      <c r="B421" s="17"/>
      <c r="C421" s="30"/>
      <c r="D421" s="17"/>
      <c r="E421" s="17"/>
      <c r="F421" s="17"/>
      <c r="G421" s="17"/>
      <c r="H421" s="17"/>
      <c r="I421" s="17"/>
    </row>
    <row r="422" spans="1:9" x14ac:dyDescent="0.25">
      <c r="A422" s="17"/>
      <c r="B422" s="17"/>
      <c r="C422" s="30"/>
      <c r="D422" s="17"/>
      <c r="E422" s="17"/>
      <c r="F422" s="17"/>
      <c r="G422" s="17"/>
      <c r="H422" s="17"/>
      <c r="I422" s="17"/>
    </row>
    <row r="423" spans="1:9" x14ac:dyDescent="0.25">
      <c r="A423" s="17"/>
      <c r="B423" s="17"/>
      <c r="C423" s="30"/>
      <c r="D423" s="17"/>
      <c r="E423" s="17"/>
      <c r="F423" s="17"/>
      <c r="G423" s="17"/>
      <c r="H423" s="17"/>
      <c r="I423" s="17"/>
    </row>
    <row r="424" spans="1:9" x14ac:dyDescent="0.25">
      <c r="A424" s="17"/>
      <c r="B424" s="17"/>
      <c r="C424" s="30"/>
      <c r="D424" s="17"/>
      <c r="E424" s="17"/>
      <c r="F424" s="17"/>
      <c r="G424" s="17"/>
      <c r="H424" s="17"/>
      <c r="I424" s="17"/>
    </row>
    <row r="425" spans="1:9" x14ac:dyDescent="0.25">
      <c r="A425" s="17"/>
      <c r="B425" s="17"/>
      <c r="C425" s="30"/>
      <c r="D425" s="17"/>
      <c r="E425" s="17"/>
      <c r="F425" s="17"/>
      <c r="G425" s="17"/>
      <c r="H425" s="17"/>
      <c r="I425" s="17"/>
    </row>
    <row r="426" spans="1:9" x14ac:dyDescent="0.25">
      <c r="A426" s="17"/>
      <c r="B426" s="17"/>
      <c r="C426" s="30"/>
      <c r="D426" s="17"/>
      <c r="E426" s="17"/>
      <c r="F426" s="17"/>
      <c r="G426" s="17"/>
      <c r="H426" s="17"/>
      <c r="I426" s="17"/>
    </row>
    <row r="427" spans="1:9" x14ac:dyDescent="0.25">
      <c r="A427" s="17"/>
      <c r="B427" s="17"/>
      <c r="C427" s="30"/>
      <c r="D427" s="17"/>
      <c r="E427" s="17"/>
      <c r="F427" s="17"/>
      <c r="G427" s="17"/>
      <c r="H427" s="17"/>
      <c r="I427" s="17"/>
    </row>
    <row r="428" spans="1:9" x14ac:dyDescent="0.25">
      <c r="A428" s="17"/>
      <c r="B428" s="17"/>
      <c r="C428" s="30"/>
      <c r="D428" s="17"/>
      <c r="E428" s="17"/>
      <c r="F428" s="17"/>
      <c r="G428" s="17"/>
      <c r="H428" s="17"/>
      <c r="I428" s="17"/>
    </row>
    <row r="429" spans="1:9" x14ac:dyDescent="0.25">
      <c r="A429" s="17"/>
      <c r="B429" s="17"/>
      <c r="C429" s="30"/>
      <c r="D429" s="17"/>
      <c r="E429" s="17"/>
      <c r="F429" s="17"/>
      <c r="G429" s="17"/>
      <c r="H429" s="17"/>
      <c r="I429" s="17"/>
    </row>
    <row r="430" spans="1:9" x14ac:dyDescent="0.25">
      <c r="A430" s="17"/>
      <c r="B430" s="17"/>
      <c r="C430" s="30"/>
      <c r="D430" s="17"/>
      <c r="E430" s="17"/>
      <c r="F430" s="17"/>
      <c r="G430" s="17"/>
      <c r="H430" s="17"/>
      <c r="I430" s="17"/>
    </row>
    <row r="431" spans="1:9" x14ac:dyDescent="0.25">
      <c r="A431" s="17"/>
      <c r="B431" s="17"/>
      <c r="C431" s="30"/>
      <c r="D431" s="17"/>
      <c r="E431" s="17"/>
      <c r="F431" s="17"/>
      <c r="G431" s="17"/>
      <c r="H431" s="17"/>
      <c r="I431" s="17"/>
    </row>
    <row r="432" spans="1:9" x14ac:dyDescent="0.25">
      <c r="A432" s="17"/>
      <c r="B432" s="17"/>
      <c r="C432" s="30"/>
      <c r="D432" s="17"/>
      <c r="E432" s="17"/>
      <c r="F432" s="17"/>
      <c r="G432" s="17"/>
      <c r="H432" s="17"/>
      <c r="I432" s="17"/>
    </row>
    <row r="433" spans="1:9" x14ac:dyDescent="0.25">
      <c r="A433" s="17"/>
      <c r="B433" s="17"/>
      <c r="C433" s="30"/>
      <c r="D433" s="17"/>
      <c r="E433" s="17"/>
      <c r="F433" s="17"/>
      <c r="G433" s="17"/>
      <c r="H433" s="17"/>
      <c r="I433" s="17"/>
    </row>
    <row r="434" spans="1:9" x14ac:dyDescent="0.25">
      <c r="A434" s="17"/>
      <c r="B434" s="17"/>
      <c r="C434" s="30"/>
      <c r="D434" s="17"/>
      <c r="E434" s="17"/>
      <c r="F434" s="17"/>
      <c r="G434" s="17"/>
      <c r="H434" s="17"/>
      <c r="I434" s="17"/>
    </row>
    <row r="435" spans="1:9" x14ac:dyDescent="0.25">
      <c r="A435" s="17"/>
      <c r="B435" s="17"/>
      <c r="C435" s="30"/>
      <c r="D435" s="17"/>
      <c r="E435" s="17"/>
      <c r="F435" s="17"/>
      <c r="G435" s="17"/>
      <c r="H435" s="17"/>
      <c r="I435" s="17"/>
    </row>
    <row r="436" spans="1:9" x14ac:dyDescent="0.25">
      <c r="A436" s="17"/>
      <c r="B436" s="17"/>
      <c r="C436" s="30"/>
      <c r="D436" s="17"/>
      <c r="E436" s="17"/>
      <c r="F436" s="17"/>
      <c r="G436" s="17"/>
      <c r="H436" s="17"/>
      <c r="I436" s="17"/>
    </row>
    <row r="437" spans="1:9" x14ac:dyDescent="0.25">
      <c r="A437" s="17"/>
      <c r="B437" s="17"/>
      <c r="C437" s="30"/>
      <c r="D437" s="17"/>
      <c r="E437" s="17"/>
      <c r="F437" s="17"/>
      <c r="G437" s="17"/>
      <c r="H437" s="17"/>
      <c r="I437" s="17"/>
    </row>
    <row r="438" spans="1:9" x14ac:dyDescent="0.25">
      <c r="A438" s="17"/>
      <c r="B438" s="17"/>
      <c r="C438" s="30"/>
      <c r="D438" s="17"/>
      <c r="E438" s="17"/>
      <c r="F438" s="17"/>
      <c r="G438" s="17"/>
      <c r="H438" s="17"/>
      <c r="I438" s="17"/>
    </row>
    <row r="439" spans="1:9" x14ac:dyDescent="0.25">
      <c r="A439" s="17"/>
      <c r="B439" s="17"/>
      <c r="C439" s="30"/>
      <c r="D439" s="17"/>
      <c r="E439" s="17"/>
      <c r="F439" s="17"/>
      <c r="G439" s="17"/>
      <c r="H439" s="17"/>
      <c r="I439" s="17"/>
    </row>
    <row r="440" spans="1:9" x14ac:dyDescent="0.25">
      <c r="A440" s="17"/>
      <c r="B440" s="17"/>
      <c r="C440" s="30"/>
      <c r="D440" s="17"/>
      <c r="E440" s="17"/>
      <c r="F440" s="17"/>
      <c r="G440" s="17"/>
      <c r="H440" s="17"/>
      <c r="I440" s="17"/>
    </row>
    <row r="441" spans="1:9" x14ac:dyDescent="0.25">
      <c r="A441" s="17"/>
      <c r="B441" s="17"/>
      <c r="C441" s="30"/>
      <c r="D441" s="17"/>
      <c r="E441" s="17"/>
      <c r="F441" s="17"/>
      <c r="G441" s="17"/>
      <c r="H441" s="17"/>
      <c r="I441" s="17"/>
    </row>
    <row r="442" spans="1:9" x14ac:dyDescent="0.25">
      <c r="A442" s="17"/>
      <c r="B442" s="17"/>
      <c r="C442" s="30"/>
      <c r="D442" s="17"/>
      <c r="E442" s="17"/>
      <c r="F442" s="17"/>
      <c r="G442" s="17"/>
      <c r="H442" s="17"/>
      <c r="I442" s="17"/>
    </row>
    <row r="443" spans="1:9" x14ac:dyDescent="0.25">
      <c r="A443" s="17"/>
      <c r="B443" s="17"/>
      <c r="C443" s="30"/>
      <c r="D443" s="17"/>
      <c r="E443" s="17"/>
      <c r="F443" s="17"/>
      <c r="G443" s="17"/>
      <c r="H443" s="17"/>
      <c r="I443" s="17"/>
    </row>
    <row r="444" spans="1:9" x14ac:dyDescent="0.25">
      <c r="A444" s="17"/>
      <c r="B444" s="17"/>
      <c r="C444" s="30"/>
      <c r="D444" s="17"/>
      <c r="E444" s="17"/>
      <c r="F444" s="17"/>
      <c r="G444" s="17"/>
      <c r="H444" s="17"/>
      <c r="I444" s="17"/>
    </row>
    <row r="445" spans="1:9" x14ac:dyDescent="0.25">
      <c r="A445" s="17"/>
      <c r="B445" s="17"/>
      <c r="C445" s="30"/>
      <c r="D445" s="17"/>
      <c r="E445" s="17"/>
      <c r="F445" s="17"/>
      <c r="G445" s="17"/>
      <c r="H445" s="17"/>
      <c r="I445" s="17"/>
    </row>
    <row r="446" spans="1:9" x14ac:dyDescent="0.25">
      <c r="A446" s="17"/>
      <c r="B446" s="17"/>
      <c r="C446" s="30"/>
      <c r="D446" s="17"/>
      <c r="E446" s="17"/>
      <c r="F446" s="17"/>
      <c r="G446" s="17"/>
      <c r="H446" s="17"/>
      <c r="I446" s="17"/>
    </row>
    <row r="447" spans="1:9" x14ac:dyDescent="0.25">
      <c r="A447" s="17"/>
      <c r="B447" s="17"/>
      <c r="C447" s="30"/>
      <c r="D447" s="17"/>
      <c r="E447" s="17"/>
      <c r="F447" s="17"/>
      <c r="G447" s="17"/>
      <c r="H447" s="17"/>
      <c r="I447" s="17"/>
    </row>
    <row r="448" spans="1:9" x14ac:dyDescent="0.25">
      <c r="A448" s="17"/>
      <c r="B448" s="17"/>
      <c r="C448" s="30"/>
      <c r="D448" s="17"/>
      <c r="E448" s="17"/>
      <c r="F448" s="17"/>
      <c r="G448" s="17"/>
      <c r="H448" s="17"/>
      <c r="I448" s="17"/>
    </row>
    <row r="449" spans="1:9" x14ac:dyDescent="0.25">
      <c r="A449" s="17"/>
      <c r="B449" s="17"/>
      <c r="C449" s="30"/>
      <c r="D449" s="17"/>
      <c r="E449" s="17"/>
      <c r="F449" s="17"/>
      <c r="G449" s="17"/>
      <c r="H449" s="17"/>
      <c r="I449" s="17"/>
    </row>
    <row r="450" spans="1:9" x14ac:dyDescent="0.25">
      <c r="A450" s="17"/>
      <c r="B450" s="17"/>
      <c r="C450" s="30"/>
      <c r="D450" s="17"/>
      <c r="E450" s="17"/>
      <c r="F450" s="17"/>
      <c r="G450" s="17"/>
      <c r="H450" s="17"/>
      <c r="I450" s="17"/>
    </row>
    <row r="451" spans="1:9" x14ac:dyDescent="0.25">
      <c r="A451" s="17"/>
      <c r="B451" s="17"/>
      <c r="C451" s="30"/>
      <c r="D451" s="17"/>
      <c r="E451" s="17"/>
      <c r="F451" s="17"/>
      <c r="G451" s="17"/>
      <c r="H451" s="17"/>
      <c r="I451" s="17"/>
    </row>
    <row r="452" spans="1:9" x14ac:dyDescent="0.25">
      <c r="A452" s="17"/>
      <c r="B452" s="17"/>
      <c r="C452" s="30"/>
      <c r="D452" s="17"/>
      <c r="E452" s="17"/>
      <c r="F452" s="17"/>
      <c r="G452" s="17"/>
      <c r="H452" s="17"/>
      <c r="I452" s="17"/>
    </row>
    <row r="453" spans="1:9" x14ac:dyDescent="0.25">
      <c r="A453" s="17"/>
      <c r="B453" s="17"/>
      <c r="C453" s="30"/>
      <c r="D453" s="17"/>
      <c r="E453" s="17"/>
      <c r="F453" s="17"/>
      <c r="G453" s="17"/>
      <c r="H453" s="17"/>
      <c r="I453" s="17"/>
    </row>
    <row r="454" spans="1:9" x14ac:dyDescent="0.25">
      <c r="A454" s="17"/>
      <c r="B454" s="17"/>
      <c r="C454" s="30"/>
      <c r="D454" s="17"/>
      <c r="E454" s="17"/>
      <c r="F454" s="17"/>
      <c r="G454" s="17"/>
      <c r="H454" s="17"/>
      <c r="I454" s="17"/>
    </row>
    <row r="455" spans="1:9" x14ac:dyDescent="0.25">
      <c r="A455" s="17"/>
      <c r="B455" s="17"/>
      <c r="C455" s="30"/>
      <c r="D455" s="17"/>
      <c r="E455" s="17"/>
      <c r="F455" s="17"/>
      <c r="G455" s="17"/>
      <c r="H455" s="17"/>
      <c r="I455" s="17"/>
    </row>
    <row r="456" spans="1:9" x14ac:dyDescent="0.25">
      <c r="A456" s="17"/>
      <c r="B456" s="17"/>
      <c r="C456" s="30"/>
      <c r="D456" s="17"/>
      <c r="E456" s="17"/>
      <c r="F456" s="17"/>
      <c r="G456" s="17"/>
      <c r="H456" s="17"/>
      <c r="I456" s="17"/>
    </row>
    <row r="457" spans="1:9" x14ac:dyDescent="0.25">
      <c r="A457" s="17"/>
      <c r="B457" s="17"/>
      <c r="C457" s="30"/>
      <c r="D457" s="17"/>
      <c r="E457" s="17"/>
      <c r="F457" s="17"/>
      <c r="G457" s="17"/>
      <c r="H457" s="17"/>
      <c r="I457" s="17"/>
    </row>
    <row r="458" spans="1:9" x14ac:dyDescent="0.25">
      <c r="A458" s="17"/>
      <c r="B458" s="17"/>
      <c r="C458" s="30"/>
      <c r="D458" s="17"/>
      <c r="E458" s="17"/>
      <c r="F458" s="17"/>
      <c r="G458" s="17"/>
      <c r="H458" s="17"/>
      <c r="I458" s="17"/>
    </row>
    <row r="459" spans="1:9" x14ac:dyDescent="0.25">
      <c r="A459" s="17"/>
      <c r="B459" s="17"/>
      <c r="C459" s="30"/>
      <c r="D459" s="17"/>
      <c r="E459" s="17"/>
      <c r="F459" s="17"/>
      <c r="G459" s="17"/>
      <c r="H459" s="17"/>
      <c r="I459" s="17"/>
    </row>
    <row r="460" spans="1:9" x14ac:dyDescent="0.25">
      <c r="A460" s="17"/>
      <c r="B460" s="17"/>
      <c r="C460" s="30"/>
      <c r="D460" s="17"/>
      <c r="E460" s="17"/>
      <c r="F460" s="17"/>
      <c r="G460" s="17"/>
      <c r="H460" s="17"/>
      <c r="I460" s="17"/>
    </row>
    <row r="461" spans="1:9" x14ac:dyDescent="0.25">
      <c r="A461" s="17"/>
      <c r="B461" s="17"/>
      <c r="C461" s="30"/>
      <c r="D461" s="17"/>
      <c r="E461" s="17"/>
      <c r="F461" s="17"/>
      <c r="G461" s="17"/>
      <c r="H461" s="17"/>
      <c r="I461" s="17"/>
    </row>
    <row r="462" spans="1:9" x14ac:dyDescent="0.25">
      <c r="A462" s="17"/>
      <c r="B462" s="17"/>
      <c r="C462" s="30"/>
      <c r="D462" s="17"/>
      <c r="E462" s="17"/>
      <c r="F462" s="17"/>
      <c r="G462" s="17"/>
      <c r="H462" s="17"/>
      <c r="I462" s="17"/>
    </row>
    <row r="463" spans="1:9" x14ac:dyDescent="0.25">
      <c r="A463" s="17"/>
      <c r="B463" s="17"/>
      <c r="C463" s="30"/>
      <c r="D463" s="17"/>
      <c r="E463" s="17"/>
      <c r="F463" s="17"/>
      <c r="G463" s="17"/>
      <c r="H463" s="17"/>
      <c r="I463" s="17"/>
    </row>
    <row r="464" spans="1:9" x14ac:dyDescent="0.25">
      <c r="A464" s="17"/>
      <c r="B464" s="17"/>
      <c r="C464" s="30"/>
      <c r="D464" s="17"/>
      <c r="E464" s="17"/>
      <c r="F464" s="17"/>
      <c r="G464" s="17"/>
      <c r="H464" s="17"/>
      <c r="I464" s="17"/>
    </row>
    <row r="465" spans="1:9" x14ac:dyDescent="0.25">
      <c r="A465" s="17"/>
      <c r="B465" s="17"/>
      <c r="C465" s="30"/>
      <c r="D465" s="17"/>
      <c r="E465" s="17"/>
      <c r="F465" s="17"/>
      <c r="G465" s="17"/>
      <c r="H465" s="17"/>
      <c r="I465" s="17"/>
    </row>
    <row r="466" spans="1:9" x14ac:dyDescent="0.25">
      <c r="A466" s="17"/>
      <c r="B466" s="17"/>
      <c r="C466" s="30"/>
      <c r="D466" s="17"/>
      <c r="E466" s="17"/>
      <c r="F466" s="17"/>
      <c r="G466" s="17"/>
      <c r="H466" s="17"/>
      <c r="I466" s="17"/>
    </row>
    <row r="467" spans="1:9" x14ac:dyDescent="0.25">
      <c r="A467" s="17"/>
      <c r="B467" s="17"/>
      <c r="C467" s="30"/>
      <c r="D467" s="17"/>
      <c r="E467" s="17"/>
      <c r="F467" s="17"/>
      <c r="G467" s="17"/>
      <c r="H467" s="17"/>
      <c r="I467" s="17"/>
    </row>
    <row r="468" spans="1:9" x14ac:dyDescent="0.25">
      <c r="A468" s="17"/>
      <c r="B468" s="17"/>
      <c r="C468" s="30"/>
      <c r="D468" s="17"/>
      <c r="E468" s="17"/>
      <c r="F468" s="17"/>
      <c r="G468" s="17"/>
      <c r="H468" s="17"/>
      <c r="I468" s="17"/>
    </row>
    <row r="469" spans="1:9" x14ac:dyDescent="0.25">
      <c r="A469" s="17"/>
      <c r="B469" s="17"/>
      <c r="C469" s="30"/>
      <c r="D469" s="17"/>
      <c r="E469" s="17"/>
      <c r="F469" s="17"/>
      <c r="G469" s="17"/>
      <c r="H469" s="17"/>
      <c r="I469" s="17"/>
    </row>
    <row r="470" spans="1:9" x14ac:dyDescent="0.25">
      <c r="A470" s="17"/>
      <c r="B470" s="17"/>
      <c r="C470" s="30"/>
      <c r="D470" s="17"/>
      <c r="E470" s="17"/>
      <c r="F470" s="17"/>
      <c r="G470" s="17"/>
      <c r="H470" s="17"/>
      <c r="I470" s="17"/>
    </row>
    <row r="471" spans="1:9" x14ac:dyDescent="0.25">
      <c r="A471" s="17"/>
      <c r="B471" s="17"/>
      <c r="C471" s="30"/>
      <c r="D471" s="17"/>
      <c r="E471" s="17"/>
      <c r="F471" s="17"/>
      <c r="G471" s="17"/>
      <c r="H471" s="17"/>
      <c r="I471" s="17"/>
    </row>
    <row r="472" spans="1:9" x14ac:dyDescent="0.25">
      <c r="A472" s="17"/>
      <c r="B472" s="17"/>
      <c r="C472" s="30"/>
      <c r="D472" s="17"/>
      <c r="E472" s="17"/>
      <c r="F472" s="17"/>
      <c r="G472" s="17"/>
      <c r="H472" s="17"/>
      <c r="I472" s="17"/>
    </row>
    <row r="473" spans="1:9" x14ac:dyDescent="0.25">
      <c r="A473" s="17"/>
      <c r="B473" s="17"/>
      <c r="C473" s="30"/>
      <c r="D473" s="17"/>
      <c r="E473" s="17"/>
      <c r="F473" s="17"/>
      <c r="G473" s="17"/>
      <c r="H473" s="17"/>
      <c r="I473" s="17"/>
    </row>
    <row r="474" spans="1:9" x14ac:dyDescent="0.25">
      <c r="A474" s="17"/>
      <c r="B474" s="17"/>
      <c r="C474" s="30"/>
      <c r="D474" s="17"/>
      <c r="E474" s="17"/>
      <c r="F474" s="17"/>
      <c r="G474" s="17"/>
      <c r="H474" s="17"/>
      <c r="I474" s="17"/>
    </row>
    <row r="475" spans="1:9" x14ac:dyDescent="0.25">
      <c r="A475" s="17"/>
      <c r="B475" s="17"/>
      <c r="C475" s="30"/>
      <c r="D475" s="17"/>
      <c r="E475" s="17"/>
      <c r="F475" s="17"/>
      <c r="G475" s="17"/>
      <c r="H475" s="17"/>
      <c r="I475" s="17"/>
    </row>
    <row r="476" spans="1:9" x14ac:dyDescent="0.25">
      <c r="A476" s="17"/>
      <c r="B476" s="17"/>
      <c r="C476" s="30"/>
      <c r="D476" s="17"/>
      <c r="E476" s="17"/>
      <c r="F476" s="17"/>
      <c r="G476" s="17"/>
      <c r="H476" s="17"/>
      <c r="I476" s="17"/>
    </row>
    <row r="477" spans="1:9" x14ac:dyDescent="0.25">
      <c r="A477" s="17"/>
      <c r="B477" s="17"/>
      <c r="C477" s="30"/>
      <c r="D477" s="17"/>
      <c r="E477" s="17"/>
      <c r="F477" s="17"/>
      <c r="G477" s="17"/>
      <c r="H477" s="17"/>
      <c r="I477" s="17"/>
    </row>
    <row r="478" spans="1:9" x14ac:dyDescent="0.25">
      <c r="A478" s="17"/>
      <c r="B478" s="17"/>
      <c r="C478" s="30"/>
      <c r="D478" s="17"/>
      <c r="E478" s="17"/>
      <c r="F478" s="17"/>
      <c r="G478" s="17"/>
      <c r="H478" s="17"/>
      <c r="I478" s="17"/>
    </row>
    <row r="479" spans="1:9" x14ac:dyDescent="0.25">
      <c r="A479" s="17"/>
      <c r="B479" s="17"/>
      <c r="C479" s="30"/>
      <c r="D479" s="17"/>
      <c r="E479" s="17"/>
      <c r="F479" s="17"/>
      <c r="G479" s="17"/>
      <c r="H479" s="17"/>
      <c r="I479" s="17"/>
    </row>
    <row r="480" spans="1:9" x14ac:dyDescent="0.25">
      <c r="A480" s="17"/>
      <c r="B480" s="17"/>
      <c r="C480" s="30"/>
      <c r="D480" s="17"/>
      <c r="E480" s="17"/>
      <c r="F480" s="17"/>
      <c r="G480" s="17"/>
      <c r="H480" s="17"/>
      <c r="I480" s="17"/>
    </row>
    <row r="481" spans="1:9" x14ac:dyDescent="0.25">
      <c r="A481" s="17"/>
      <c r="B481" s="17"/>
      <c r="C481" s="30"/>
      <c r="D481" s="17"/>
      <c r="E481" s="17"/>
      <c r="F481" s="17"/>
      <c r="G481" s="17"/>
      <c r="H481" s="17"/>
      <c r="I481" s="17"/>
    </row>
    <row r="482" spans="1:9" x14ac:dyDescent="0.25">
      <c r="A482" s="17"/>
      <c r="B482" s="17"/>
      <c r="C482" s="30"/>
      <c r="D482" s="17"/>
      <c r="E482" s="17"/>
      <c r="F482" s="17"/>
      <c r="G482" s="17"/>
      <c r="H482" s="17"/>
      <c r="I482" s="17"/>
    </row>
    <row r="483" spans="1:9" x14ac:dyDescent="0.25">
      <c r="A483" s="17"/>
      <c r="B483" s="17"/>
      <c r="C483" s="30"/>
      <c r="D483" s="17"/>
      <c r="E483" s="17"/>
      <c r="F483" s="17"/>
      <c r="G483" s="17"/>
      <c r="H483" s="17"/>
      <c r="I483" s="17"/>
    </row>
    <row r="484" spans="1:9" x14ac:dyDescent="0.25">
      <c r="A484" s="17"/>
      <c r="B484" s="17"/>
      <c r="C484" s="30"/>
      <c r="D484" s="17"/>
      <c r="E484" s="17"/>
      <c r="F484" s="17"/>
      <c r="G484" s="17"/>
      <c r="H484" s="17"/>
      <c r="I484" s="17"/>
    </row>
    <row r="485" spans="1:9" x14ac:dyDescent="0.25">
      <c r="A485" s="17"/>
      <c r="B485" s="17"/>
      <c r="C485" s="30"/>
      <c r="D485" s="17"/>
      <c r="E485" s="17"/>
      <c r="F485" s="17"/>
      <c r="G485" s="17"/>
      <c r="H485" s="17"/>
      <c r="I485" s="17"/>
    </row>
    <row r="486" spans="1:9" x14ac:dyDescent="0.25">
      <c r="A486" s="17"/>
      <c r="B486" s="17"/>
      <c r="C486" s="30"/>
      <c r="D486" s="17"/>
      <c r="E486" s="17"/>
      <c r="F486" s="17"/>
      <c r="G486" s="17"/>
      <c r="H486" s="17"/>
      <c r="I486" s="17"/>
    </row>
    <row r="487" spans="1:9" x14ac:dyDescent="0.25">
      <c r="A487" s="17"/>
      <c r="B487" s="17"/>
      <c r="C487" s="30"/>
      <c r="D487" s="17"/>
      <c r="E487" s="17"/>
      <c r="F487" s="17"/>
      <c r="G487" s="17"/>
      <c r="H487" s="17"/>
      <c r="I487" s="17"/>
    </row>
    <row r="488" spans="1:9" x14ac:dyDescent="0.25">
      <c r="A488" s="17"/>
      <c r="B488" s="17"/>
      <c r="C488" s="30"/>
      <c r="D488" s="17"/>
      <c r="E488" s="17"/>
      <c r="F488" s="17"/>
      <c r="G488" s="17"/>
      <c r="H488" s="17"/>
      <c r="I488" s="17"/>
    </row>
    <row r="489" spans="1:9" x14ac:dyDescent="0.25">
      <c r="A489" s="17"/>
      <c r="B489" s="17"/>
      <c r="C489" s="30"/>
      <c r="D489" s="17"/>
      <c r="E489" s="17"/>
      <c r="F489" s="17"/>
      <c r="G489" s="17"/>
      <c r="H489" s="17"/>
      <c r="I489" s="17"/>
    </row>
    <row r="490" spans="1:9" x14ac:dyDescent="0.25">
      <c r="A490" s="17"/>
      <c r="B490" s="17"/>
      <c r="C490" s="30"/>
      <c r="D490" s="17"/>
      <c r="E490" s="17"/>
      <c r="F490" s="17"/>
      <c r="G490" s="17"/>
      <c r="H490" s="17"/>
      <c r="I490" s="17"/>
    </row>
    <row r="491" spans="1:9" x14ac:dyDescent="0.25">
      <c r="A491" s="17"/>
      <c r="B491" s="17"/>
      <c r="C491" s="30"/>
      <c r="D491" s="17"/>
      <c r="E491" s="17"/>
      <c r="F491" s="17"/>
      <c r="G491" s="17"/>
      <c r="H491" s="17"/>
      <c r="I491" s="17"/>
    </row>
    <row r="492" spans="1:9" x14ac:dyDescent="0.25">
      <c r="A492" s="17"/>
      <c r="B492" s="17"/>
      <c r="C492" s="30"/>
      <c r="D492" s="17"/>
      <c r="E492" s="17"/>
      <c r="F492" s="17"/>
      <c r="G492" s="17"/>
      <c r="H492" s="17"/>
      <c r="I492" s="17"/>
    </row>
    <row r="493" spans="1:9" x14ac:dyDescent="0.25">
      <c r="A493" s="17"/>
      <c r="B493" s="17"/>
      <c r="C493" s="30"/>
      <c r="D493" s="17"/>
      <c r="E493" s="17"/>
      <c r="F493" s="17"/>
      <c r="G493" s="17"/>
      <c r="H493" s="17"/>
      <c r="I493" s="17"/>
    </row>
    <row r="494" spans="1:9" x14ac:dyDescent="0.25">
      <c r="A494" s="17"/>
      <c r="B494" s="17"/>
      <c r="C494" s="30"/>
      <c r="D494" s="17"/>
      <c r="E494" s="17"/>
      <c r="F494" s="17"/>
      <c r="G494" s="17"/>
      <c r="H494" s="17"/>
      <c r="I494" s="17"/>
    </row>
    <row r="495" spans="1:9" x14ac:dyDescent="0.25">
      <c r="A495" s="17"/>
      <c r="B495" s="17"/>
      <c r="C495" s="30"/>
      <c r="D495" s="17"/>
      <c r="E495" s="17"/>
      <c r="F495" s="17"/>
      <c r="G495" s="17"/>
      <c r="H495" s="17"/>
      <c r="I495" s="17"/>
    </row>
    <row r="496" spans="1:9" x14ac:dyDescent="0.25">
      <c r="A496" s="17"/>
      <c r="B496" s="17"/>
      <c r="C496" s="30"/>
      <c r="D496" s="17"/>
      <c r="E496" s="17"/>
      <c r="F496" s="17"/>
      <c r="G496" s="17"/>
      <c r="H496" s="17"/>
      <c r="I496" s="17"/>
    </row>
    <row r="497" spans="1:9" x14ac:dyDescent="0.25">
      <c r="A497" s="17"/>
      <c r="B497" s="17"/>
      <c r="C497" s="30"/>
      <c r="D497" s="17"/>
      <c r="E497" s="17"/>
      <c r="F497" s="17"/>
      <c r="G497" s="17"/>
      <c r="H497" s="17"/>
      <c r="I497" s="17"/>
    </row>
    <row r="498" spans="1:9" x14ac:dyDescent="0.25">
      <c r="A498" s="17"/>
      <c r="B498" s="17"/>
      <c r="C498" s="30"/>
      <c r="D498" s="17"/>
      <c r="E498" s="17"/>
      <c r="F498" s="17"/>
      <c r="G498" s="17"/>
      <c r="H498" s="17"/>
      <c r="I498" s="17"/>
    </row>
    <row r="499" spans="1:9" x14ac:dyDescent="0.25">
      <c r="A499" s="17"/>
      <c r="B499" s="17"/>
      <c r="C499" s="30"/>
      <c r="D499" s="17"/>
      <c r="E499" s="17"/>
      <c r="F499" s="17"/>
      <c r="G499" s="17"/>
      <c r="H499" s="17"/>
      <c r="I499" s="17"/>
    </row>
    <row r="500" spans="1:9" x14ac:dyDescent="0.25">
      <c r="A500" s="17"/>
      <c r="B500" s="17"/>
      <c r="C500" s="30"/>
      <c r="D500" s="17"/>
      <c r="E500" s="17"/>
      <c r="F500" s="17"/>
      <c r="G500" s="17"/>
      <c r="H500" s="17"/>
      <c r="I500" s="17"/>
    </row>
    <row r="501" spans="1:9" x14ac:dyDescent="0.25">
      <c r="A501" s="17"/>
      <c r="B501" s="17"/>
      <c r="C501" s="30"/>
      <c r="D501" s="17"/>
      <c r="E501" s="17"/>
      <c r="F501" s="17"/>
      <c r="G501" s="17"/>
      <c r="H501" s="17"/>
      <c r="I501" s="17"/>
    </row>
    <row r="502" spans="1:9" x14ac:dyDescent="0.25">
      <c r="A502" s="17"/>
      <c r="B502" s="17"/>
      <c r="C502" s="30"/>
      <c r="D502" s="17"/>
      <c r="E502" s="17"/>
      <c r="F502" s="17"/>
      <c r="G502" s="17"/>
      <c r="H502" s="17"/>
      <c r="I502" s="17"/>
    </row>
    <row r="503" spans="1:9" x14ac:dyDescent="0.25">
      <c r="A503" s="17"/>
      <c r="B503" s="17"/>
      <c r="C503" s="30"/>
      <c r="D503" s="17"/>
      <c r="E503" s="17"/>
      <c r="F503" s="17"/>
      <c r="G503" s="17"/>
      <c r="H503" s="17"/>
      <c r="I503" s="17"/>
    </row>
    <row r="504" spans="1:9" x14ac:dyDescent="0.25">
      <c r="A504" s="17"/>
      <c r="B504" s="17"/>
      <c r="C504" s="30"/>
      <c r="D504" s="17"/>
      <c r="E504" s="17"/>
      <c r="F504" s="17"/>
      <c r="G504" s="17"/>
      <c r="H504" s="17"/>
      <c r="I504" s="17"/>
    </row>
    <row r="505" spans="1:9" x14ac:dyDescent="0.25">
      <c r="A505" s="17"/>
      <c r="B505" s="17"/>
      <c r="C505" s="30"/>
      <c r="D505" s="17"/>
      <c r="E505" s="17"/>
      <c r="F505" s="17"/>
      <c r="G505" s="17"/>
      <c r="H505" s="17"/>
      <c r="I505" s="17"/>
    </row>
    <row r="506" spans="1:9" x14ac:dyDescent="0.25">
      <c r="A506" s="17"/>
      <c r="B506" s="17"/>
      <c r="C506" s="30"/>
      <c r="D506" s="17"/>
      <c r="E506" s="17"/>
      <c r="F506" s="17"/>
      <c r="G506" s="17"/>
      <c r="H506" s="17"/>
      <c r="I506" s="17"/>
    </row>
    <row r="507" spans="1:9" x14ac:dyDescent="0.25">
      <c r="A507" s="17"/>
      <c r="B507" s="17"/>
      <c r="C507" s="30"/>
      <c r="D507" s="17"/>
      <c r="E507" s="17"/>
      <c r="F507" s="17"/>
      <c r="G507" s="17"/>
      <c r="H507" s="17"/>
      <c r="I507" s="17"/>
    </row>
    <row r="508" spans="1:9" x14ac:dyDescent="0.25">
      <c r="A508" s="17"/>
      <c r="B508" s="17"/>
      <c r="C508" s="30"/>
      <c r="D508" s="17"/>
      <c r="E508" s="17"/>
      <c r="F508" s="17"/>
      <c r="G508" s="17"/>
      <c r="H508" s="17"/>
      <c r="I508" s="17"/>
    </row>
    <row r="509" spans="1:9" x14ac:dyDescent="0.25">
      <c r="A509" s="17"/>
      <c r="B509" s="17"/>
      <c r="C509" s="30"/>
      <c r="D509" s="17"/>
      <c r="E509" s="17"/>
      <c r="F509" s="17"/>
      <c r="G509" s="17"/>
      <c r="H509" s="17"/>
      <c r="I509" s="17"/>
    </row>
    <row r="510" spans="1:9" x14ac:dyDescent="0.25">
      <c r="A510" s="17"/>
      <c r="B510" s="17"/>
      <c r="C510" s="30"/>
      <c r="D510" s="17"/>
      <c r="E510" s="17"/>
      <c r="F510" s="17"/>
      <c r="G510" s="17"/>
      <c r="H510" s="17"/>
      <c r="I510" s="17"/>
    </row>
    <row r="511" spans="1:9" x14ac:dyDescent="0.25">
      <c r="A511" s="17"/>
      <c r="B511" s="17"/>
      <c r="C511" s="30"/>
      <c r="D511" s="17"/>
      <c r="E511" s="17"/>
      <c r="F511" s="17"/>
      <c r="G511" s="17"/>
      <c r="H511" s="17"/>
      <c r="I511" s="17"/>
    </row>
    <row r="512" spans="1:9" x14ac:dyDescent="0.25">
      <c r="A512" s="17"/>
      <c r="B512" s="17"/>
      <c r="C512" s="30"/>
      <c r="D512" s="17"/>
      <c r="E512" s="17"/>
      <c r="F512" s="17"/>
      <c r="G512" s="17"/>
      <c r="H512" s="17"/>
      <c r="I512" s="17"/>
    </row>
    <row r="513" spans="1:9" x14ac:dyDescent="0.25">
      <c r="A513" s="17"/>
      <c r="B513" s="17"/>
      <c r="C513" s="30"/>
      <c r="D513" s="17"/>
      <c r="E513" s="17"/>
      <c r="F513" s="17"/>
      <c r="G513" s="17"/>
      <c r="H513" s="17"/>
      <c r="I513" s="17"/>
    </row>
    <row r="514" spans="1:9" x14ac:dyDescent="0.25">
      <c r="A514" s="17"/>
      <c r="B514" s="17"/>
      <c r="C514" s="30"/>
      <c r="D514" s="17"/>
      <c r="E514" s="17"/>
      <c r="F514" s="17"/>
      <c r="G514" s="17"/>
      <c r="H514" s="17"/>
      <c r="I514" s="17"/>
    </row>
    <row r="515" spans="1:9" x14ac:dyDescent="0.25">
      <c r="A515" s="17"/>
      <c r="B515" s="17"/>
      <c r="C515" s="30"/>
      <c r="D515" s="17"/>
      <c r="E515" s="17"/>
      <c r="F515" s="17"/>
      <c r="G515" s="17"/>
      <c r="H515" s="17"/>
      <c r="I515" s="17"/>
    </row>
    <row r="516" spans="1:9" x14ac:dyDescent="0.25">
      <c r="A516" s="17"/>
      <c r="B516" s="17"/>
      <c r="C516" s="30"/>
      <c r="D516" s="17"/>
      <c r="E516" s="17"/>
      <c r="F516" s="17"/>
      <c r="G516" s="17"/>
      <c r="H516" s="17"/>
      <c r="I516" s="17"/>
    </row>
    <row r="517" spans="1:9" x14ac:dyDescent="0.25">
      <c r="A517" s="17"/>
      <c r="B517" s="17"/>
      <c r="C517" s="30"/>
      <c r="D517" s="17"/>
      <c r="E517" s="17"/>
      <c r="F517" s="17"/>
      <c r="G517" s="17"/>
      <c r="H517" s="17"/>
      <c r="I517" s="17"/>
    </row>
    <row r="518" spans="1:9" x14ac:dyDescent="0.25">
      <c r="A518" s="17"/>
      <c r="B518" s="17"/>
      <c r="C518" s="30"/>
      <c r="D518" s="17"/>
      <c r="E518" s="17"/>
      <c r="F518" s="17"/>
      <c r="G518" s="17"/>
      <c r="H518" s="17"/>
      <c r="I518" s="17"/>
    </row>
    <row r="519" spans="1:9" x14ac:dyDescent="0.25">
      <c r="A519" s="17"/>
      <c r="B519" s="17"/>
      <c r="C519" s="30"/>
      <c r="D519" s="17"/>
      <c r="E519" s="17"/>
      <c r="F519" s="17"/>
      <c r="G519" s="17"/>
      <c r="H519" s="17"/>
      <c r="I519" s="17"/>
    </row>
    <row r="520" spans="1:9" x14ac:dyDescent="0.25">
      <c r="A520" s="17"/>
      <c r="B520" s="17"/>
      <c r="C520" s="30"/>
      <c r="D520" s="17"/>
      <c r="E520" s="17"/>
      <c r="F520" s="17"/>
      <c r="G520" s="17"/>
      <c r="H520" s="17"/>
      <c r="I520" s="17"/>
    </row>
    <row r="521" spans="1:9" x14ac:dyDescent="0.25">
      <c r="A521" s="17"/>
      <c r="B521" s="17"/>
      <c r="C521" s="30"/>
      <c r="D521" s="17"/>
      <c r="E521" s="17"/>
      <c r="F521" s="17"/>
      <c r="G521" s="17"/>
      <c r="H521" s="17"/>
      <c r="I521" s="17"/>
    </row>
    <row r="522" spans="1:9" x14ac:dyDescent="0.25">
      <c r="A522" s="17"/>
      <c r="B522" s="17"/>
      <c r="C522" s="30"/>
      <c r="D522" s="17"/>
      <c r="E522" s="17"/>
      <c r="F522" s="17"/>
      <c r="G522" s="17"/>
      <c r="H522" s="17"/>
      <c r="I522" s="17"/>
    </row>
    <row r="523" spans="1:9" x14ac:dyDescent="0.25">
      <c r="A523" s="17"/>
      <c r="B523" s="17"/>
      <c r="C523" s="30"/>
      <c r="D523" s="17"/>
      <c r="E523" s="17"/>
      <c r="F523" s="17"/>
      <c r="G523" s="17"/>
      <c r="H523" s="17"/>
      <c r="I523" s="17"/>
    </row>
    <row r="524" spans="1:9" x14ac:dyDescent="0.25">
      <c r="A524" s="17"/>
      <c r="B524" s="17"/>
      <c r="C524" s="30"/>
      <c r="D524" s="17"/>
      <c r="E524" s="17"/>
      <c r="F524" s="17"/>
      <c r="G524" s="17"/>
      <c r="H524" s="17"/>
      <c r="I524" s="17"/>
    </row>
    <row r="525" spans="1:9" x14ac:dyDescent="0.25">
      <c r="A525" s="17"/>
      <c r="B525" s="17"/>
      <c r="C525" s="30"/>
      <c r="D525" s="17"/>
      <c r="E525" s="17"/>
      <c r="F525" s="17"/>
      <c r="G525" s="17"/>
      <c r="H525" s="17"/>
      <c r="I525" s="17"/>
    </row>
    <row r="526" spans="1:9" x14ac:dyDescent="0.25">
      <c r="A526" s="17"/>
      <c r="B526" s="17"/>
      <c r="C526" s="30"/>
      <c r="D526" s="17"/>
      <c r="E526" s="17"/>
      <c r="F526" s="17"/>
      <c r="G526" s="17"/>
      <c r="H526" s="17"/>
      <c r="I526" s="17"/>
    </row>
    <row r="527" spans="1:9" x14ac:dyDescent="0.25">
      <c r="A527" s="17"/>
      <c r="B527" s="17"/>
      <c r="C527" s="30"/>
      <c r="D527" s="17"/>
      <c r="E527" s="17"/>
      <c r="F527" s="17"/>
      <c r="G527" s="17"/>
      <c r="H527" s="17"/>
      <c r="I527" s="17"/>
    </row>
    <row r="528" spans="1:9" x14ac:dyDescent="0.25">
      <c r="A528" s="17"/>
      <c r="B528" s="17"/>
      <c r="C528" s="30"/>
      <c r="D528" s="17"/>
      <c r="E528" s="17"/>
      <c r="F528" s="17"/>
      <c r="G528" s="17"/>
      <c r="H528" s="17"/>
      <c r="I528" s="17"/>
    </row>
    <row r="529" spans="1:9" x14ac:dyDescent="0.25">
      <c r="A529" s="17"/>
      <c r="B529" s="17"/>
      <c r="C529" s="30"/>
      <c r="D529" s="17"/>
      <c r="E529" s="17"/>
      <c r="F529" s="17"/>
      <c r="G529" s="17"/>
      <c r="H529" s="17"/>
      <c r="I529" s="17"/>
    </row>
    <row r="530" spans="1:9" x14ac:dyDescent="0.25">
      <c r="A530" s="17"/>
      <c r="B530" s="17"/>
      <c r="C530" s="30"/>
      <c r="D530" s="17"/>
      <c r="E530" s="17"/>
      <c r="F530" s="17"/>
      <c r="G530" s="17"/>
      <c r="H530" s="17"/>
      <c r="I530" s="17"/>
    </row>
    <row r="531" spans="1:9" x14ac:dyDescent="0.25">
      <c r="A531" s="17"/>
      <c r="B531" s="17"/>
      <c r="C531" s="30"/>
      <c r="D531" s="17"/>
      <c r="E531" s="17"/>
      <c r="F531" s="17"/>
      <c r="G531" s="17"/>
      <c r="H531" s="17"/>
      <c r="I531" s="17"/>
    </row>
    <row r="532" spans="1:9" x14ac:dyDescent="0.25">
      <c r="A532" s="17"/>
      <c r="B532" s="17"/>
      <c r="C532" s="30"/>
      <c r="D532" s="17"/>
      <c r="E532" s="17"/>
      <c r="F532" s="17"/>
      <c r="G532" s="17"/>
      <c r="H532" s="17"/>
      <c r="I532" s="17"/>
    </row>
    <row r="533" spans="1:9" x14ac:dyDescent="0.25">
      <c r="A533" s="17"/>
      <c r="B533" s="17"/>
      <c r="C533" s="30"/>
      <c r="D533" s="17"/>
      <c r="E533" s="17"/>
      <c r="F533" s="17"/>
      <c r="G533" s="17"/>
      <c r="H533" s="17"/>
      <c r="I533" s="17"/>
    </row>
    <row r="534" spans="1:9" x14ac:dyDescent="0.25">
      <c r="A534" s="17"/>
      <c r="B534" s="17"/>
      <c r="C534" s="30"/>
      <c r="D534" s="17"/>
      <c r="E534" s="17"/>
      <c r="F534" s="17"/>
      <c r="G534" s="17"/>
      <c r="H534" s="17"/>
      <c r="I534" s="17"/>
    </row>
    <row r="535" spans="1:9" x14ac:dyDescent="0.25">
      <c r="A535" s="17"/>
      <c r="B535" s="17"/>
      <c r="C535" s="30"/>
      <c r="D535" s="17"/>
      <c r="E535" s="17"/>
      <c r="F535" s="17"/>
      <c r="G535" s="17"/>
      <c r="H535" s="17"/>
      <c r="I535" s="17"/>
    </row>
    <row r="536" spans="1:9" x14ac:dyDescent="0.25">
      <c r="A536" s="17"/>
      <c r="B536" s="17"/>
      <c r="C536" s="30"/>
      <c r="D536" s="17"/>
      <c r="E536" s="17"/>
      <c r="F536" s="17"/>
      <c r="G536" s="17"/>
      <c r="H536" s="17"/>
      <c r="I536" s="17"/>
    </row>
    <row r="537" spans="1:9" x14ac:dyDescent="0.25">
      <c r="A537" s="17"/>
      <c r="B537" s="17"/>
      <c r="C537" s="30"/>
      <c r="D537" s="17"/>
      <c r="E537" s="17"/>
      <c r="F537" s="17"/>
      <c r="G537" s="17"/>
      <c r="H537" s="17"/>
      <c r="I537" s="17"/>
    </row>
    <row r="538" spans="1:9" x14ac:dyDescent="0.25">
      <c r="A538" s="17"/>
      <c r="B538" s="17"/>
      <c r="C538" s="30"/>
      <c r="D538" s="17"/>
      <c r="E538" s="17"/>
      <c r="F538" s="17"/>
      <c r="G538" s="17"/>
      <c r="H538" s="17"/>
      <c r="I538" s="17"/>
    </row>
    <row r="539" spans="1:9" x14ac:dyDescent="0.25">
      <c r="A539" s="17"/>
      <c r="B539" s="17"/>
      <c r="C539" s="30"/>
      <c r="D539" s="17"/>
      <c r="E539" s="17"/>
      <c r="F539" s="17"/>
      <c r="G539" s="17"/>
      <c r="H539" s="17"/>
      <c r="I539" s="17"/>
    </row>
    <row r="540" spans="1:9" x14ac:dyDescent="0.25">
      <c r="A540" s="17"/>
      <c r="B540" s="17"/>
      <c r="C540" s="30"/>
      <c r="D540" s="17"/>
      <c r="E540" s="17"/>
      <c r="F540" s="17"/>
      <c r="G540" s="17"/>
      <c r="H540" s="17"/>
      <c r="I540" s="17"/>
    </row>
    <row r="541" spans="1:9" x14ac:dyDescent="0.25">
      <c r="A541" s="17"/>
      <c r="B541" s="17"/>
      <c r="C541" s="30"/>
      <c r="D541" s="17"/>
      <c r="E541" s="17"/>
      <c r="F541" s="17"/>
      <c r="G541" s="17"/>
      <c r="H541" s="17"/>
      <c r="I541" s="17"/>
    </row>
    <row r="542" spans="1:9" x14ac:dyDescent="0.25">
      <c r="A542" s="17"/>
      <c r="B542" s="17"/>
      <c r="C542" s="30"/>
      <c r="D542" s="17"/>
      <c r="E542" s="17"/>
      <c r="F542" s="17"/>
      <c r="G542" s="17"/>
      <c r="H542" s="17"/>
      <c r="I542" s="17"/>
    </row>
    <row r="543" spans="1:9" x14ac:dyDescent="0.25">
      <c r="A543" s="17"/>
      <c r="B543" s="17"/>
      <c r="C543" s="30"/>
      <c r="D543" s="17"/>
      <c r="E543" s="17"/>
      <c r="F543" s="17"/>
      <c r="G543" s="17"/>
      <c r="H543" s="17"/>
      <c r="I543" s="17"/>
    </row>
    <row r="544" spans="1:9" x14ac:dyDescent="0.25">
      <c r="A544" s="17"/>
      <c r="B544" s="17"/>
      <c r="C544" s="30"/>
      <c r="D544" s="17"/>
      <c r="E544" s="17"/>
      <c r="F544" s="17"/>
      <c r="G544" s="17"/>
      <c r="H544" s="17"/>
      <c r="I544" s="17"/>
    </row>
    <row r="545" spans="1:9" x14ac:dyDescent="0.25">
      <c r="A545" s="17"/>
      <c r="B545" s="17"/>
      <c r="C545" s="30"/>
      <c r="D545" s="17"/>
      <c r="E545" s="17"/>
      <c r="F545" s="17"/>
      <c r="G545" s="17"/>
      <c r="H545" s="17"/>
      <c r="I545" s="17"/>
    </row>
    <row r="546" spans="1:9" x14ac:dyDescent="0.25">
      <c r="A546" s="17"/>
      <c r="B546" s="17"/>
      <c r="C546" s="30"/>
      <c r="D546" s="17"/>
      <c r="E546" s="17"/>
      <c r="F546" s="17"/>
      <c r="G546" s="17"/>
      <c r="H546" s="17"/>
      <c r="I546" s="17"/>
    </row>
    <row r="547" spans="1:9" x14ac:dyDescent="0.25">
      <c r="A547" s="17"/>
      <c r="B547" s="17"/>
      <c r="C547" s="30"/>
      <c r="D547" s="17"/>
      <c r="E547" s="17"/>
      <c r="F547" s="17"/>
      <c r="G547" s="17"/>
      <c r="H547" s="17"/>
      <c r="I547" s="17"/>
    </row>
    <row r="548" spans="1:9" x14ac:dyDescent="0.25">
      <c r="A548" s="17"/>
      <c r="B548" s="17"/>
      <c r="C548" s="30"/>
      <c r="D548" s="17"/>
      <c r="E548" s="17"/>
      <c r="F548" s="17"/>
      <c r="G548" s="17"/>
      <c r="H548" s="17"/>
      <c r="I548" s="17"/>
    </row>
    <row r="549" spans="1:9" x14ac:dyDescent="0.25">
      <c r="A549" s="17"/>
      <c r="B549" s="17"/>
      <c r="C549" s="30"/>
      <c r="D549" s="17"/>
      <c r="E549" s="17"/>
      <c r="F549" s="17"/>
      <c r="G549" s="17"/>
      <c r="H549" s="17"/>
      <c r="I549" s="17"/>
    </row>
    <row r="550" spans="1:9" x14ac:dyDescent="0.25">
      <c r="A550" s="17"/>
      <c r="B550" s="17"/>
      <c r="C550" s="30"/>
      <c r="D550" s="17"/>
      <c r="E550" s="17"/>
      <c r="F550" s="17"/>
      <c r="G550" s="17"/>
      <c r="H550" s="17"/>
      <c r="I550" s="17"/>
    </row>
    <row r="551" spans="1:9" x14ac:dyDescent="0.25">
      <c r="A551" s="17"/>
      <c r="B551" s="17"/>
      <c r="C551" s="30"/>
      <c r="D551" s="17"/>
      <c r="E551" s="17"/>
      <c r="F551" s="17"/>
      <c r="G551" s="17"/>
      <c r="H551" s="17"/>
      <c r="I551" s="17"/>
    </row>
    <row r="552" spans="1:9" x14ac:dyDescent="0.25">
      <c r="A552" s="17"/>
      <c r="B552" s="17"/>
      <c r="C552" s="30"/>
      <c r="D552" s="17"/>
      <c r="E552" s="17"/>
      <c r="F552" s="17"/>
      <c r="G552" s="17"/>
      <c r="H552" s="17"/>
      <c r="I552" s="17"/>
    </row>
    <row r="553" spans="1:9" x14ac:dyDescent="0.25">
      <c r="A553" s="17"/>
      <c r="B553" s="17"/>
      <c r="C553" s="30"/>
      <c r="D553" s="17"/>
      <c r="E553" s="17"/>
      <c r="F553" s="17"/>
      <c r="G553" s="17"/>
      <c r="H553" s="17"/>
      <c r="I553" s="17"/>
    </row>
    <row r="554" spans="1:9" x14ac:dyDescent="0.25">
      <c r="A554" s="17"/>
      <c r="B554" s="17"/>
      <c r="C554" s="30"/>
      <c r="D554" s="17"/>
      <c r="E554" s="17"/>
      <c r="F554" s="17"/>
      <c r="G554" s="17"/>
      <c r="H554" s="17"/>
      <c r="I554" s="17"/>
    </row>
    <row r="555" spans="1:9" x14ac:dyDescent="0.25">
      <c r="A555" s="17"/>
      <c r="B555" s="17"/>
      <c r="C555" s="30"/>
      <c r="D555" s="17"/>
      <c r="E555" s="17"/>
      <c r="F555" s="17"/>
      <c r="G555" s="17"/>
      <c r="H555" s="17"/>
      <c r="I555" s="17"/>
    </row>
    <row r="556" spans="1:9" x14ac:dyDescent="0.25">
      <c r="A556" s="17"/>
      <c r="B556" s="17"/>
      <c r="C556" s="30"/>
      <c r="D556" s="17"/>
      <c r="E556" s="17"/>
      <c r="F556" s="17"/>
      <c r="G556" s="17"/>
      <c r="H556" s="17"/>
      <c r="I556" s="17"/>
    </row>
    <row r="557" spans="1:9" x14ac:dyDescent="0.25">
      <c r="A557" s="17"/>
      <c r="B557" s="17"/>
      <c r="C557" s="30"/>
      <c r="D557" s="17"/>
      <c r="E557" s="17"/>
      <c r="F557" s="17"/>
      <c r="G557" s="17"/>
      <c r="H557" s="17"/>
      <c r="I557" s="17"/>
    </row>
    <row r="558" spans="1:9" x14ac:dyDescent="0.25">
      <c r="A558" s="17"/>
      <c r="B558" s="17"/>
      <c r="C558" s="30"/>
      <c r="D558" s="17"/>
      <c r="E558" s="17"/>
      <c r="F558" s="17"/>
      <c r="G558" s="17"/>
      <c r="H558" s="17"/>
      <c r="I558" s="17"/>
    </row>
    <row r="559" spans="1:9" x14ac:dyDescent="0.25">
      <c r="A559" s="17"/>
      <c r="B559" s="17"/>
      <c r="C559" s="30"/>
      <c r="D559" s="17"/>
      <c r="E559" s="17"/>
      <c r="F559" s="17"/>
      <c r="G559" s="17"/>
      <c r="H559" s="17"/>
      <c r="I559" s="17"/>
    </row>
    <row r="560" spans="1:9" x14ac:dyDescent="0.25">
      <c r="A560" s="17"/>
      <c r="B560" s="17"/>
      <c r="C560" s="30"/>
      <c r="D560" s="17"/>
      <c r="E560" s="17"/>
      <c r="F560" s="17"/>
      <c r="G560" s="17"/>
      <c r="H560" s="17"/>
      <c r="I560" s="17"/>
    </row>
    <row r="561" spans="1:9" x14ac:dyDescent="0.25">
      <c r="A561" s="17"/>
      <c r="B561" s="17"/>
      <c r="C561" s="30"/>
      <c r="D561" s="17"/>
      <c r="E561" s="17"/>
      <c r="F561" s="17"/>
      <c r="G561" s="17"/>
      <c r="H561" s="17"/>
      <c r="I561" s="17"/>
    </row>
    <row r="562" spans="1:9" x14ac:dyDescent="0.25">
      <c r="A562" s="17"/>
      <c r="B562" s="17"/>
      <c r="C562" s="30"/>
      <c r="D562" s="17"/>
      <c r="E562" s="17"/>
      <c r="F562" s="17"/>
      <c r="G562" s="17"/>
      <c r="H562" s="17"/>
      <c r="I562" s="17"/>
    </row>
    <row r="563" spans="1:9" x14ac:dyDescent="0.25">
      <c r="A563" s="17"/>
      <c r="B563" s="17"/>
      <c r="C563" s="30"/>
      <c r="D563" s="17"/>
      <c r="E563" s="17"/>
      <c r="F563" s="17"/>
      <c r="G563" s="17"/>
      <c r="H563" s="17"/>
      <c r="I563" s="17"/>
    </row>
    <row r="564" spans="1:9" x14ac:dyDescent="0.25">
      <c r="A564" s="17"/>
      <c r="B564" s="17"/>
      <c r="C564" s="30"/>
      <c r="D564" s="17"/>
      <c r="E564" s="17"/>
      <c r="F564" s="17"/>
      <c r="G564" s="17"/>
      <c r="H564" s="17"/>
      <c r="I564" s="17"/>
    </row>
    <row r="565" spans="1:9" x14ac:dyDescent="0.25">
      <c r="A565" s="17"/>
      <c r="B565" s="17"/>
      <c r="C565" s="30"/>
      <c r="D565" s="17"/>
      <c r="E565" s="17"/>
      <c r="F565" s="17"/>
      <c r="G565" s="17"/>
      <c r="H565" s="17"/>
      <c r="I565" s="17"/>
    </row>
    <row r="566" spans="1:9" x14ac:dyDescent="0.25">
      <c r="A566" s="17"/>
      <c r="B566" s="17"/>
      <c r="C566" s="30"/>
      <c r="D566" s="17"/>
      <c r="E566" s="17"/>
      <c r="F566" s="17"/>
      <c r="G566" s="17"/>
      <c r="H566" s="17"/>
      <c r="I566" s="17"/>
    </row>
    <row r="567" spans="1:9" x14ac:dyDescent="0.25">
      <c r="A567" s="17"/>
      <c r="B567" s="17"/>
      <c r="C567" s="30"/>
      <c r="D567" s="17"/>
      <c r="E567" s="17"/>
      <c r="F567" s="17"/>
      <c r="G567" s="17"/>
      <c r="H567" s="17"/>
      <c r="I567" s="17"/>
    </row>
    <row r="568" spans="1:9" x14ac:dyDescent="0.25">
      <c r="A568" s="17"/>
      <c r="B568" s="17"/>
      <c r="C568" s="30"/>
      <c r="D568" s="17"/>
      <c r="E568" s="17"/>
      <c r="F568" s="17"/>
      <c r="G568" s="17"/>
      <c r="H568" s="17"/>
      <c r="I568" s="17"/>
    </row>
    <row r="569" spans="1:9" x14ac:dyDescent="0.25">
      <c r="A569" s="17"/>
      <c r="B569" s="17"/>
      <c r="C569" s="30"/>
      <c r="D569" s="17"/>
      <c r="E569" s="17"/>
      <c r="F569" s="17"/>
      <c r="G569" s="17"/>
      <c r="H569" s="17"/>
      <c r="I569" s="17"/>
    </row>
    <row r="570" spans="1:9" x14ac:dyDescent="0.25">
      <c r="A570" s="17"/>
      <c r="B570" s="17"/>
      <c r="C570" s="30"/>
      <c r="D570" s="17"/>
      <c r="E570" s="17"/>
      <c r="F570" s="17"/>
      <c r="G570" s="17"/>
      <c r="H570" s="17"/>
      <c r="I570" s="17"/>
    </row>
    <row r="571" spans="1:9" x14ac:dyDescent="0.25">
      <c r="A571" s="17"/>
      <c r="B571" s="17"/>
      <c r="C571" s="30"/>
      <c r="D571" s="17"/>
      <c r="E571" s="17"/>
      <c r="F571" s="17"/>
      <c r="G571" s="17"/>
      <c r="H571" s="17"/>
      <c r="I571" s="17"/>
    </row>
    <row r="572" spans="1:9" x14ac:dyDescent="0.25">
      <c r="A572" s="17"/>
      <c r="B572" s="17"/>
      <c r="C572" s="30"/>
      <c r="D572" s="17"/>
      <c r="E572" s="17"/>
      <c r="F572" s="17"/>
      <c r="G572" s="17"/>
      <c r="H572" s="17"/>
      <c r="I572" s="17"/>
    </row>
    <row r="573" spans="1:9" x14ac:dyDescent="0.25">
      <c r="A573" s="17"/>
      <c r="B573" s="17"/>
      <c r="C573" s="30"/>
      <c r="D573" s="17"/>
      <c r="E573" s="17"/>
      <c r="F573" s="17"/>
      <c r="G573" s="17"/>
      <c r="H573" s="17"/>
      <c r="I573" s="17"/>
    </row>
    <row r="574" spans="1:9" x14ac:dyDescent="0.25">
      <c r="A574" s="17"/>
      <c r="B574" s="17"/>
      <c r="C574" s="30"/>
      <c r="D574" s="17"/>
      <c r="E574" s="17"/>
      <c r="F574" s="17"/>
      <c r="G574" s="17"/>
      <c r="H574" s="17"/>
      <c r="I574" s="17"/>
    </row>
    <row r="575" spans="1:9" x14ac:dyDescent="0.25">
      <c r="A575" s="17"/>
      <c r="B575" s="17"/>
      <c r="C575" s="30"/>
      <c r="D575" s="17"/>
      <c r="E575" s="17"/>
      <c r="F575" s="17"/>
      <c r="G575" s="17"/>
      <c r="H575" s="17"/>
      <c r="I575" s="17"/>
    </row>
    <row r="576" spans="1:9" x14ac:dyDescent="0.25">
      <c r="A576" s="17"/>
      <c r="B576" s="17"/>
      <c r="C576" s="30"/>
      <c r="D576" s="17"/>
      <c r="E576" s="17"/>
      <c r="F576" s="17"/>
      <c r="G576" s="17"/>
      <c r="H576" s="17"/>
      <c r="I576" s="17"/>
    </row>
    <row r="577" spans="1:9" x14ac:dyDescent="0.25">
      <c r="A577" s="17"/>
      <c r="B577" s="17"/>
      <c r="C577" s="30"/>
      <c r="D577" s="17"/>
      <c r="E577" s="17"/>
      <c r="F577" s="17"/>
      <c r="G577" s="17"/>
      <c r="H577" s="17"/>
      <c r="I577" s="17"/>
    </row>
    <row r="578" spans="1:9" x14ac:dyDescent="0.25">
      <c r="A578" s="17"/>
      <c r="B578" s="17"/>
      <c r="C578" s="30"/>
      <c r="D578" s="17"/>
      <c r="E578" s="17"/>
      <c r="F578" s="17"/>
      <c r="G578" s="17"/>
      <c r="H578" s="17"/>
      <c r="I578" s="17"/>
    </row>
    <row r="579" spans="1:9" x14ac:dyDescent="0.25">
      <c r="A579" s="17"/>
      <c r="B579" s="17"/>
      <c r="C579" s="30"/>
      <c r="D579" s="17"/>
      <c r="E579" s="17"/>
      <c r="F579" s="17"/>
      <c r="G579" s="17"/>
      <c r="H579" s="17"/>
      <c r="I579" s="17"/>
    </row>
    <row r="580" spans="1:9" x14ac:dyDescent="0.25">
      <c r="A580" s="17"/>
      <c r="B580" s="17"/>
      <c r="C580" s="30"/>
      <c r="D580" s="17"/>
      <c r="E580" s="17"/>
      <c r="F580" s="17"/>
      <c r="G580" s="17"/>
      <c r="H580" s="17"/>
      <c r="I580" s="17"/>
    </row>
    <row r="581" spans="1:9" x14ac:dyDescent="0.25">
      <c r="A581" s="17"/>
      <c r="B581" s="17"/>
      <c r="C581" s="30"/>
      <c r="D581" s="17"/>
      <c r="E581" s="17"/>
      <c r="F581" s="17"/>
      <c r="G581" s="17"/>
      <c r="H581" s="17"/>
      <c r="I581" s="17"/>
    </row>
    <row r="582" spans="1:9" x14ac:dyDescent="0.25">
      <c r="A582" s="17"/>
      <c r="B582" s="17"/>
      <c r="C582" s="30"/>
      <c r="D582" s="17"/>
      <c r="E582" s="17"/>
      <c r="F582" s="17"/>
      <c r="G582" s="17"/>
      <c r="H582" s="17"/>
      <c r="I582" s="17"/>
    </row>
    <row r="583" spans="1:9" x14ac:dyDescent="0.25">
      <c r="A583" s="17"/>
      <c r="B583" s="17"/>
      <c r="C583" s="30"/>
      <c r="D583" s="17"/>
      <c r="E583" s="17"/>
      <c r="F583" s="17"/>
      <c r="G583" s="17"/>
      <c r="H583" s="17"/>
      <c r="I583" s="17"/>
    </row>
    <row r="584" spans="1:9" x14ac:dyDescent="0.25">
      <c r="A584" s="17"/>
      <c r="B584" s="17"/>
      <c r="C584" s="30"/>
      <c r="D584" s="17"/>
      <c r="E584" s="17"/>
      <c r="F584" s="17"/>
      <c r="G584" s="17"/>
      <c r="H584" s="17"/>
      <c r="I584" s="17"/>
    </row>
    <row r="585" spans="1:9" x14ac:dyDescent="0.25">
      <c r="A585" s="17"/>
      <c r="B585" s="17"/>
      <c r="C585" s="30"/>
      <c r="D585" s="17"/>
      <c r="E585" s="17"/>
      <c r="F585" s="17"/>
      <c r="G585" s="17"/>
      <c r="H585" s="17"/>
      <c r="I585" s="17"/>
    </row>
    <row r="586" spans="1:9" x14ac:dyDescent="0.25">
      <c r="A586" s="17"/>
      <c r="B586" s="17"/>
      <c r="C586" s="30"/>
      <c r="D586" s="17"/>
      <c r="E586" s="17"/>
      <c r="F586" s="17"/>
      <c r="G586" s="17"/>
      <c r="H586" s="17"/>
      <c r="I586" s="17"/>
    </row>
    <row r="587" spans="1:9" x14ac:dyDescent="0.25">
      <c r="A587" s="17"/>
      <c r="B587" s="17"/>
      <c r="C587" s="30"/>
      <c r="D587" s="17"/>
      <c r="E587" s="17"/>
      <c r="F587" s="17"/>
      <c r="G587" s="17"/>
      <c r="H587" s="17"/>
      <c r="I587" s="17"/>
    </row>
    <row r="588" spans="1:9" x14ac:dyDescent="0.25">
      <c r="A588" s="17"/>
      <c r="B588" s="17"/>
      <c r="C588" s="30"/>
      <c r="D588" s="17"/>
      <c r="E588" s="17"/>
      <c r="F588" s="17"/>
      <c r="G588" s="17"/>
      <c r="H588" s="17"/>
      <c r="I588" s="17"/>
    </row>
    <row r="589" spans="1:9" x14ac:dyDescent="0.25">
      <c r="A589" s="17"/>
      <c r="B589" s="17"/>
      <c r="C589" s="30"/>
      <c r="D589" s="17"/>
      <c r="E589" s="17"/>
      <c r="F589" s="17"/>
      <c r="G589" s="17"/>
      <c r="H589" s="17"/>
      <c r="I589" s="17"/>
    </row>
    <row r="590" spans="1:9" x14ac:dyDescent="0.25">
      <c r="A590" s="17"/>
      <c r="B590" s="17"/>
      <c r="C590" s="30"/>
      <c r="D590" s="17"/>
      <c r="E590" s="17"/>
      <c r="F590" s="17"/>
      <c r="G590" s="17"/>
      <c r="H590" s="17"/>
      <c r="I590" s="17"/>
    </row>
    <row r="591" spans="1:9" x14ac:dyDescent="0.25">
      <c r="A591" s="17"/>
      <c r="B591" s="17"/>
      <c r="C591" s="30"/>
      <c r="D591" s="17"/>
      <c r="E591" s="17"/>
      <c r="F591" s="17"/>
      <c r="G591" s="17"/>
      <c r="H591" s="17"/>
      <c r="I591" s="17"/>
    </row>
    <row r="592" spans="1:9" x14ac:dyDescent="0.25">
      <c r="A592" s="17"/>
      <c r="B592" s="17"/>
      <c r="C592" s="30"/>
      <c r="D592" s="17"/>
      <c r="E592" s="17"/>
      <c r="F592" s="17"/>
      <c r="G592" s="17"/>
      <c r="H592" s="17"/>
      <c r="I592" s="17"/>
    </row>
    <row r="593" spans="1:9" x14ac:dyDescent="0.25">
      <c r="A593" s="17"/>
      <c r="B593" s="17"/>
      <c r="C593" s="30"/>
      <c r="D593" s="17"/>
      <c r="E593" s="17"/>
      <c r="F593" s="17"/>
      <c r="G593" s="17"/>
      <c r="H593" s="17"/>
      <c r="I593" s="17"/>
    </row>
    <row r="594" spans="1:9" x14ac:dyDescent="0.25">
      <c r="A594" s="17"/>
      <c r="B594" s="17"/>
      <c r="C594" s="30"/>
      <c r="D594" s="17"/>
      <c r="E594" s="17"/>
      <c r="F594" s="17"/>
      <c r="G594" s="17"/>
      <c r="H594" s="17"/>
      <c r="I594" s="17"/>
    </row>
    <row r="595" spans="1:9" x14ac:dyDescent="0.25">
      <c r="A595" s="17"/>
      <c r="B595" s="17"/>
      <c r="C595" s="30"/>
      <c r="D595" s="17"/>
      <c r="E595" s="17"/>
      <c r="F595" s="17"/>
      <c r="G595" s="17"/>
      <c r="H595" s="17"/>
      <c r="I595" s="17"/>
    </row>
    <row r="596" spans="1:9" x14ac:dyDescent="0.25">
      <c r="A596" s="17"/>
      <c r="B596" s="17"/>
      <c r="C596" s="30"/>
      <c r="D596" s="17"/>
      <c r="E596" s="17"/>
      <c r="F596" s="17"/>
      <c r="G596" s="17"/>
      <c r="H596" s="17"/>
      <c r="I596" s="17"/>
    </row>
    <row r="597" spans="1:9" x14ac:dyDescent="0.25">
      <c r="A597" s="17"/>
      <c r="B597" s="17"/>
      <c r="C597" s="30"/>
      <c r="D597" s="17"/>
      <c r="E597" s="17"/>
      <c r="F597" s="17"/>
      <c r="G597" s="17"/>
      <c r="H597" s="17"/>
      <c r="I597" s="17"/>
    </row>
    <row r="598" spans="1:9" x14ac:dyDescent="0.25">
      <c r="A598" s="17"/>
      <c r="B598" s="17"/>
      <c r="C598" s="30"/>
      <c r="D598" s="17"/>
      <c r="E598" s="17"/>
      <c r="F598" s="17"/>
      <c r="G598" s="17"/>
      <c r="H598" s="17"/>
      <c r="I598" s="17"/>
    </row>
    <row r="599" spans="1:9" x14ac:dyDescent="0.25">
      <c r="A599" s="17"/>
      <c r="B599" s="17"/>
      <c r="C599" s="30"/>
      <c r="D599" s="17"/>
      <c r="E599" s="17"/>
      <c r="F599" s="17"/>
      <c r="G599" s="17"/>
      <c r="H599" s="17"/>
      <c r="I599" s="17"/>
    </row>
    <row r="600" spans="1:9" x14ac:dyDescent="0.25">
      <c r="A600" s="17"/>
      <c r="B600" s="17"/>
      <c r="C600" s="30"/>
      <c r="D600" s="17"/>
      <c r="E600" s="17"/>
      <c r="F600" s="17"/>
      <c r="G600" s="17"/>
      <c r="H600" s="17"/>
      <c r="I600" s="17"/>
    </row>
    <row r="601" spans="1:9" x14ac:dyDescent="0.25">
      <c r="A601" s="17"/>
      <c r="B601" s="17"/>
      <c r="C601" s="30"/>
      <c r="D601" s="17"/>
      <c r="E601" s="17"/>
      <c r="F601" s="17"/>
      <c r="G601" s="17"/>
      <c r="H601" s="17"/>
      <c r="I601" s="17"/>
    </row>
    <row r="602" spans="1:9" x14ac:dyDescent="0.25">
      <c r="A602" s="17"/>
      <c r="B602" s="17"/>
      <c r="C602" s="30"/>
      <c r="D602" s="17"/>
      <c r="E602" s="17"/>
      <c r="F602" s="17"/>
      <c r="G602" s="17"/>
      <c r="H602" s="17"/>
      <c r="I602" s="17"/>
    </row>
    <row r="603" spans="1:9" x14ac:dyDescent="0.25">
      <c r="A603" s="17"/>
      <c r="B603" s="17"/>
      <c r="C603" s="30"/>
      <c r="D603" s="17"/>
      <c r="E603" s="17"/>
      <c r="F603" s="17"/>
      <c r="G603" s="17"/>
      <c r="H603" s="17"/>
      <c r="I603" s="17"/>
    </row>
    <row r="604" spans="1:9" x14ac:dyDescent="0.25">
      <c r="A604" s="17"/>
      <c r="B604" s="17"/>
      <c r="C604" s="30"/>
      <c r="D604" s="17"/>
      <c r="E604" s="17"/>
      <c r="F604" s="17"/>
      <c r="G604" s="17"/>
      <c r="H604" s="17"/>
      <c r="I604" s="17"/>
    </row>
    <row r="605" spans="1:9" x14ac:dyDescent="0.25">
      <c r="A605" s="17"/>
      <c r="B605" s="17"/>
      <c r="C605" s="30"/>
      <c r="D605" s="17"/>
      <c r="E605" s="17"/>
      <c r="F605" s="17"/>
      <c r="G605" s="17"/>
      <c r="H605" s="17"/>
      <c r="I605" s="17"/>
    </row>
    <row r="606" spans="1:9" x14ac:dyDescent="0.25">
      <c r="A606" s="17"/>
      <c r="B606" s="17"/>
      <c r="C606" s="30"/>
      <c r="D606" s="17"/>
      <c r="E606" s="17"/>
      <c r="F606" s="17"/>
      <c r="G606" s="17"/>
      <c r="H606" s="17"/>
      <c r="I606" s="17"/>
    </row>
    <row r="607" spans="1:9" x14ac:dyDescent="0.25">
      <c r="A607" s="17"/>
      <c r="B607" s="17"/>
      <c r="C607" s="30"/>
      <c r="D607" s="17"/>
      <c r="E607" s="17"/>
      <c r="F607" s="17"/>
      <c r="G607" s="17"/>
      <c r="H607" s="17"/>
      <c r="I607" s="17"/>
    </row>
    <row r="608" spans="1:9" x14ac:dyDescent="0.25">
      <c r="A608" s="17"/>
      <c r="B608" s="17"/>
      <c r="C608" s="30"/>
      <c r="D608" s="17"/>
      <c r="E608" s="17"/>
      <c r="F608" s="17"/>
      <c r="G608" s="17"/>
      <c r="H608" s="17"/>
      <c r="I608" s="17"/>
    </row>
    <row r="609" spans="1:9" x14ac:dyDescent="0.25">
      <c r="A609" s="17"/>
      <c r="B609" s="17"/>
      <c r="C609" s="30"/>
      <c r="D609" s="17"/>
      <c r="E609" s="17"/>
      <c r="F609" s="17"/>
      <c r="G609" s="17"/>
      <c r="H609" s="17"/>
      <c r="I609" s="17"/>
    </row>
    <row r="610" spans="1:9" x14ac:dyDescent="0.25">
      <c r="A610" s="17"/>
      <c r="B610" s="17"/>
      <c r="C610" s="30"/>
      <c r="D610" s="17"/>
      <c r="E610" s="17"/>
      <c r="F610" s="17"/>
      <c r="G610" s="17"/>
      <c r="H610" s="17"/>
      <c r="I610" s="17"/>
    </row>
    <row r="611" spans="1:9" x14ac:dyDescent="0.25">
      <c r="A611" s="17"/>
      <c r="B611" s="17"/>
      <c r="C611" s="30"/>
      <c r="D611" s="17"/>
      <c r="E611" s="17"/>
      <c r="F611" s="17"/>
      <c r="G611" s="17"/>
      <c r="H611" s="17"/>
      <c r="I611" s="17"/>
    </row>
    <row r="612" spans="1:9" x14ac:dyDescent="0.25">
      <c r="A612" s="17"/>
      <c r="B612" s="17"/>
      <c r="C612" s="30"/>
      <c r="D612" s="17"/>
      <c r="E612" s="17"/>
      <c r="F612" s="17"/>
      <c r="G612" s="17"/>
      <c r="H612" s="17"/>
      <c r="I612" s="17"/>
    </row>
    <row r="613" spans="1:9" x14ac:dyDescent="0.25">
      <c r="A613" s="17"/>
      <c r="B613" s="17"/>
      <c r="C613" s="30"/>
      <c r="D613" s="17"/>
      <c r="E613" s="17"/>
      <c r="F613" s="17"/>
      <c r="G613" s="17"/>
      <c r="H613" s="17"/>
      <c r="I613" s="17"/>
    </row>
    <row r="614" spans="1:9" x14ac:dyDescent="0.25">
      <c r="A614" s="17"/>
      <c r="B614" s="17"/>
      <c r="C614" s="30"/>
      <c r="D614" s="17"/>
      <c r="E614" s="17"/>
      <c r="F614" s="17"/>
      <c r="G614" s="17"/>
      <c r="H614" s="17"/>
      <c r="I614" s="17"/>
    </row>
    <row r="615" spans="1:9" x14ac:dyDescent="0.25">
      <c r="A615" s="17"/>
      <c r="B615" s="17"/>
      <c r="C615" s="30"/>
      <c r="D615" s="17"/>
      <c r="E615" s="17"/>
      <c r="F615" s="17"/>
      <c r="G615" s="17"/>
      <c r="H615" s="17"/>
      <c r="I615" s="17"/>
    </row>
    <row r="616" spans="1:9" x14ac:dyDescent="0.25">
      <c r="A616" s="17"/>
      <c r="B616" s="17"/>
      <c r="C616" s="30"/>
      <c r="D616" s="17"/>
      <c r="E616" s="17"/>
      <c r="F616" s="17"/>
      <c r="G616" s="17"/>
      <c r="H616" s="17"/>
      <c r="I616" s="17"/>
    </row>
    <row r="617" spans="1:9" x14ac:dyDescent="0.25">
      <c r="A617" s="17"/>
      <c r="B617" s="17"/>
      <c r="C617" s="30"/>
      <c r="D617" s="17"/>
      <c r="E617" s="17"/>
      <c r="F617" s="17"/>
      <c r="G617" s="17"/>
      <c r="H617" s="17"/>
      <c r="I617" s="17"/>
    </row>
    <row r="618" spans="1:9" x14ac:dyDescent="0.25">
      <c r="A618" s="17"/>
      <c r="B618" s="17"/>
      <c r="C618" s="30"/>
      <c r="D618" s="17"/>
      <c r="E618" s="17"/>
      <c r="F618" s="17"/>
      <c r="G618" s="17"/>
      <c r="H618" s="17"/>
      <c r="I618" s="17"/>
    </row>
    <row r="619" spans="1:9" x14ac:dyDescent="0.25">
      <c r="A619" s="17"/>
      <c r="B619" s="17"/>
      <c r="C619" s="30"/>
      <c r="D619" s="17"/>
      <c r="E619" s="17"/>
      <c r="F619" s="17"/>
      <c r="G619" s="17"/>
      <c r="H619" s="17"/>
      <c r="I619" s="17"/>
    </row>
    <row r="620" spans="1:9" x14ac:dyDescent="0.25">
      <c r="A620" s="17"/>
      <c r="B620" s="17"/>
      <c r="C620" s="30"/>
      <c r="D620" s="17"/>
      <c r="E620" s="17"/>
      <c r="F620" s="17"/>
      <c r="G620" s="17"/>
      <c r="H620" s="17"/>
      <c r="I620" s="17"/>
    </row>
    <row r="621" spans="1:9" x14ac:dyDescent="0.25">
      <c r="A621" s="17"/>
      <c r="B621" s="17"/>
      <c r="C621" s="30"/>
      <c r="D621" s="17"/>
      <c r="E621" s="17"/>
      <c r="F621" s="17"/>
      <c r="G621" s="17"/>
      <c r="H621" s="17"/>
      <c r="I621" s="17"/>
    </row>
    <row r="622" spans="1:9" x14ac:dyDescent="0.25">
      <c r="A622" s="17"/>
      <c r="B622" s="17"/>
      <c r="C622" s="30"/>
      <c r="D622" s="17"/>
      <c r="E622" s="17"/>
      <c r="F622" s="17"/>
      <c r="G622" s="17"/>
      <c r="H622" s="17"/>
      <c r="I622" s="17"/>
    </row>
    <row r="623" spans="1:9" x14ac:dyDescent="0.25">
      <c r="A623" s="17"/>
      <c r="B623" s="17"/>
      <c r="C623" s="30"/>
      <c r="D623" s="17"/>
      <c r="E623" s="17"/>
      <c r="F623" s="17"/>
      <c r="G623" s="17"/>
      <c r="H623" s="17"/>
      <c r="I623" s="17"/>
    </row>
    <row r="624" spans="1:9" x14ac:dyDescent="0.25">
      <c r="A624" s="17"/>
      <c r="B624" s="17"/>
      <c r="C624" s="30"/>
      <c r="D624" s="17"/>
      <c r="E624" s="17"/>
      <c r="F624" s="17"/>
      <c r="G624" s="17"/>
      <c r="H624" s="17"/>
      <c r="I624" s="17"/>
    </row>
    <row r="625" spans="1:9" x14ac:dyDescent="0.25">
      <c r="A625" s="17"/>
      <c r="B625" s="17"/>
      <c r="C625" s="30"/>
      <c r="D625" s="17"/>
      <c r="E625" s="17"/>
      <c r="F625" s="17"/>
      <c r="G625" s="17"/>
      <c r="H625" s="17"/>
      <c r="I625" s="17"/>
    </row>
    <row r="626" spans="1:9" x14ac:dyDescent="0.25">
      <c r="A626" s="17"/>
      <c r="B626" s="17"/>
      <c r="C626" s="30"/>
      <c r="D626" s="17"/>
      <c r="E626" s="17"/>
      <c r="F626" s="17"/>
      <c r="G626" s="17"/>
      <c r="H626" s="17"/>
      <c r="I626" s="17"/>
    </row>
    <row r="627" spans="1:9" x14ac:dyDescent="0.25">
      <c r="A627" s="17"/>
      <c r="B627" s="17"/>
      <c r="C627" s="30"/>
      <c r="D627" s="17"/>
      <c r="E627" s="17"/>
      <c r="F627" s="17"/>
      <c r="G627" s="17"/>
      <c r="H627" s="17"/>
      <c r="I627" s="17"/>
    </row>
    <row r="628" spans="1:9" x14ac:dyDescent="0.25">
      <c r="A628" s="17"/>
      <c r="B628" s="17"/>
      <c r="C628" s="30"/>
      <c r="D628" s="17"/>
      <c r="E628" s="17"/>
      <c r="F628" s="17"/>
      <c r="G628" s="17"/>
      <c r="H628" s="17"/>
      <c r="I628" s="17"/>
    </row>
    <row r="629" spans="1:9" x14ac:dyDescent="0.25">
      <c r="A629" s="17"/>
      <c r="B629" s="17"/>
      <c r="C629" s="30"/>
      <c r="D629" s="17"/>
      <c r="E629" s="17"/>
      <c r="F629" s="17"/>
      <c r="G629" s="17"/>
      <c r="H629" s="17"/>
      <c r="I629" s="17"/>
    </row>
    <row r="630" spans="1:9" x14ac:dyDescent="0.25">
      <c r="A630" s="17"/>
      <c r="B630" s="17"/>
      <c r="C630" s="30"/>
      <c r="D630" s="17"/>
      <c r="E630" s="17"/>
      <c r="F630" s="17"/>
      <c r="G630" s="17"/>
      <c r="H630" s="17"/>
      <c r="I630" s="17"/>
    </row>
    <row r="631" spans="1:9" x14ac:dyDescent="0.25">
      <c r="A631" s="17"/>
      <c r="B631" s="17"/>
      <c r="C631" s="30"/>
      <c r="D631" s="17"/>
      <c r="E631" s="17"/>
      <c r="F631" s="17"/>
      <c r="G631" s="17"/>
      <c r="H631" s="17"/>
      <c r="I631" s="17"/>
    </row>
    <row r="632" spans="1:9" x14ac:dyDescent="0.25">
      <c r="A632" s="17"/>
      <c r="B632" s="17"/>
      <c r="C632" s="30"/>
      <c r="D632" s="17"/>
      <c r="E632" s="17"/>
      <c r="F632" s="17"/>
      <c r="G632" s="17"/>
      <c r="H632" s="17"/>
      <c r="I632" s="17"/>
    </row>
    <row r="633" spans="1:9" x14ac:dyDescent="0.25">
      <c r="A633" s="17"/>
      <c r="B633" s="17"/>
      <c r="C633" s="30"/>
      <c r="D633" s="17"/>
      <c r="E633" s="17"/>
      <c r="F633" s="17"/>
      <c r="G633" s="17"/>
      <c r="H633" s="17"/>
      <c r="I633" s="17"/>
    </row>
    <row r="634" spans="1:9" x14ac:dyDescent="0.25">
      <c r="A634" s="17"/>
      <c r="B634" s="17"/>
      <c r="C634" s="30"/>
      <c r="D634" s="17"/>
      <c r="E634" s="17"/>
      <c r="F634" s="17"/>
      <c r="G634" s="17"/>
      <c r="H634" s="17"/>
      <c r="I634" s="17"/>
    </row>
    <row r="635" spans="1:9" x14ac:dyDescent="0.25">
      <c r="A635" s="17"/>
      <c r="B635" s="17"/>
      <c r="C635" s="30"/>
      <c r="D635" s="17"/>
      <c r="E635" s="17"/>
      <c r="F635" s="17"/>
      <c r="G635" s="17"/>
      <c r="H635" s="17"/>
      <c r="I635" s="17"/>
    </row>
    <row r="636" spans="1:9" x14ac:dyDescent="0.25">
      <c r="A636" s="17"/>
      <c r="B636" s="17"/>
      <c r="C636" s="30"/>
      <c r="D636" s="17"/>
      <c r="E636" s="17"/>
      <c r="F636" s="17"/>
      <c r="G636" s="17"/>
      <c r="H636" s="17"/>
      <c r="I636" s="17"/>
    </row>
    <row r="637" spans="1:9" x14ac:dyDescent="0.25">
      <c r="A637" s="17"/>
      <c r="B637" s="17"/>
      <c r="C637" s="30"/>
      <c r="D637" s="17"/>
      <c r="E637" s="17"/>
      <c r="F637" s="17"/>
      <c r="G637" s="17"/>
      <c r="H637" s="17"/>
      <c r="I637" s="17"/>
    </row>
    <row r="638" spans="1:9" x14ac:dyDescent="0.25">
      <c r="A638" s="17"/>
      <c r="B638" s="17"/>
      <c r="C638" s="30"/>
      <c r="D638" s="17"/>
      <c r="E638" s="17"/>
      <c r="F638" s="17"/>
      <c r="G638" s="17"/>
      <c r="H638" s="17"/>
      <c r="I638" s="17"/>
    </row>
    <row r="639" spans="1:9" x14ac:dyDescent="0.25">
      <c r="A639" s="17"/>
      <c r="B639" s="17"/>
      <c r="C639" s="30"/>
      <c r="D639" s="17"/>
      <c r="E639" s="17"/>
      <c r="F639" s="17"/>
      <c r="G639" s="17"/>
      <c r="H639" s="17"/>
      <c r="I639" s="17"/>
    </row>
    <row r="640" spans="1:9" x14ac:dyDescent="0.25">
      <c r="A640" s="17"/>
      <c r="B640" s="17"/>
      <c r="C640" s="30"/>
      <c r="D640" s="17"/>
      <c r="E640" s="17"/>
      <c r="F640" s="17"/>
      <c r="G640" s="17"/>
      <c r="H640" s="17"/>
      <c r="I640" s="17"/>
    </row>
    <row r="641" spans="1:9" x14ac:dyDescent="0.25">
      <c r="A641" s="17"/>
      <c r="B641" s="17"/>
      <c r="C641" s="30"/>
      <c r="D641" s="17"/>
      <c r="E641" s="17"/>
      <c r="F641" s="17"/>
      <c r="G641" s="17"/>
      <c r="H641" s="17"/>
      <c r="I641" s="17"/>
    </row>
    <row r="642" spans="1:9" x14ac:dyDescent="0.25">
      <c r="A642" s="17"/>
      <c r="B642" s="17"/>
      <c r="C642" s="30"/>
      <c r="D642" s="17"/>
      <c r="E642" s="17"/>
      <c r="F642" s="17"/>
      <c r="G642" s="17"/>
      <c r="H642" s="17"/>
      <c r="I642" s="17"/>
    </row>
    <row r="643" spans="1:9" x14ac:dyDescent="0.25">
      <c r="A643" s="17"/>
      <c r="B643" s="17"/>
      <c r="C643" s="30"/>
      <c r="D643" s="17"/>
      <c r="E643" s="17"/>
      <c r="F643" s="17"/>
      <c r="G643" s="17"/>
      <c r="H643" s="17"/>
      <c r="I643" s="17"/>
    </row>
    <row r="644" spans="1:9" x14ac:dyDescent="0.25">
      <c r="A644" s="17"/>
      <c r="B644" s="17"/>
      <c r="C644" s="30"/>
      <c r="D644" s="17"/>
      <c r="E644" s="17"/>
      <c r="F644" s="17"/>
      <c r="G644" s="17"/>
      <c r="H644" s="17"/>
      <c r="I644" s="17"/>
    </row>
    <row r="645" spans="1:9" x14ac:dyDescent="0.25">
      <c r="A645" s="17"/>
      <c r="B645" s="17"/>
      <c r="C645" s="30"/>
      <c r="D645" s="17"/>
      <c r="E645" s="17"/>
      <c r="F645" s="17"/>
      <c r="G645" s="17"/>
      <c r="H645" s="17"/>
      <c r="I645" s="17"/>
    </row>
    <row r="646" spans="1:9" x14ac:dyDescent="0.25">
      <c r="A646" s="17"/>
      <c r="B646" s="17"/>
      <c r="C646" s="30"/>
      <c r="D646" s="17"/>
      <c r="E646" s="17"/>
      <c r="F646" s="17"/>
      <c r="G646" s="17"/>
      <c r="H646" s="17"/>
      <c r="I646" s="17"/>
    </row>
    <row r="647" spans="1:9" x14ac:dyDescent="0.25">
      <c r="A647" s="17"/>
      <c r="B647" s="17"/>
      <c r="C647" s="30"/>
      <c r="D647" s="17"/>
      <c r="E647" s="17"/>
      <c r="F647" s="17"/>
      <c r="G647" s="17"/>
      <c r="H647" s="17"/>
      <c r="I647" s="17"/>
    </row>
    <row r="648" spans="1:9" x14ac:dyDescent="0.25">
      <c r="A648" s="17"/>
      <c r="B648" s="17"/>
      <c r="C648" s="30"/>
      <c r="D648" s="17"/>
      <c r="E648" s="17"/>
      <c r="F648" s="17"/>
      <c r="G648" s="17"/>
      <c r="H648" s="17"/>
      <c r="I648" s="17"/>
    </row>
    <row r="649" spans="1:9" x14ac:dyDescent="0.25">
      <c r="A649" s="17"/>
      <c r="B649" s="17"/>
      <c r="C649" s="30"/>
      <c r="D649" s="17"/>
      <c r="E649" s="17"/>
      <c r="F649" s="17"/>
      <c r="G649" s="17"/>
      <c r="H649" s="17"/>
      <c r="I649" s="17"/>
    </row>
    <row r="650" spans="1:9" x14ac:dyDescent="0.25">
      <c r="A650" s="17"/>
      <c r="B650" s="17"/>
      <c r="C650" s="30"/>
      <c r="D650" s="17"/>
      <c r="E650" s="17"/>
      <c r="F650" s="17"/>
      <c r="G650" s="17"/>
      <c r="H650" s="17"/>
      <c r="I650" s="17"/>
    </row>
    <row r="651" spans="1:9" x14ac:dyDescent="0.25">
      <c r="A651" s="17"/>
      <c r="B651" s="17"/>
      <c r="C651" s="30"/>
      <c r="D651" s="17"/>
      <c r="E651" s="17"/>
      <c r="F651" s="17"/>
      <c r="G651" s="17"/>
      <c r="H651" s="17"/>
      <c r="I651" s="17"/>
    </row>
    <row r="652" spans="1:9" x14ac:dyDescent="0.25">
      <c r="A652" s="17"/>
      <c r="B652" s="17"/>
      <c r="C652" s="30"/>
      <c r="D652" s="17"/>
      <c r="E652" s="17"/>
      <c r="F652" s="17"/>
      <c r="G652" s="17"/>
      <c r="H652" s="17"/>
      <c r="I652" s="17"/>
    </row>
    <row r="653" spans="1:9" x14ac:dyDescent="0.25">
      <c r="A653" s="17"/>
      <c r="B653" s="17"/>
      <c r="C653" s="30"/>
      <c r="D653" s="17"/>
      <c r="E653" s="17"/>
      <c r="F653" s="17"/>
      <c r="G653" s="17"/>
      <c r="H653" s="17"/>
      <c r="I653" s="17"/>
    </row>
    <row r="654" spans="1:9" x14ac:dyDescent="0.25">
      <c r="A654" s="17"/>
      <c r="B654" s="17"/>
      <c r="C654" s="30"/>
      <c r="D654" s="17"/>
      <c r="E654" s="17"/>
      <c r="F654" s="17"/>
      <c r="G654" s="17"/>
      <c r="H654" s="17"/>
      <c r="I654" s="17"/>
    </row>
    <row r="655" spans="1:9" x14ac:dyDescent="0.25">
      <c r="A655" s="17"/>
      <c r="B655" s="17"/>
      <c r="C655" s="30"/>
      <c r="D655" s="17"/>
      <c r="E655" s="17"/>
      <c r="F655" s="17"/>
      <c r="G655" s="17"/>
      <c r="H655" s="17"/>
      <c r="I655" s="17"/>
    </row>
    <row r="656" spans="1:9" x14ac:dyDescent="0.25">
      <c r="A656" s="17"/>
      <c r="B656" s="17"/>
      <c r="C656" s="30"/>
      <c r="D656" s="17"/>
      <c r="E656" s="17"/>
      <c r="F656" s="17"/>
      <c r="G656" s="17"/>
      <c r="H656" s="17"/>
      <c r="I656" s="17"/>
    </row>
    <row r="657" spans="1:9" x14ac:dyDescent="0.25">
      <c r="A657" s="17"/>
      <c r="B657" s="17"/>
      <c r="C657" s="30"/>
      <c r="D657" s="17"/>
      <c r="E657" s="17"/>
      <c r="F657" s="17"/>
      <c r="G657" s="17"/>
      <c r="H657" s="17"/>
      <c r="I657" s="17"/>
    </row>
    <row r="658" spans="1:9" x14ac:dyDescent="0.25">
      <c r="A658" s="17"/>
      <c r="B658" s="17"/>
      <c r="C658" s="30"/>
      <c r="D658" s="17"/>
      <c r="E658" s="17"/>
      <c r="F658" s="17"/>
      <c r="G658" s="17"/>
      <c r="H658" s="17"/>
      <c r="I658" s="17"/>
    </row>
    <row r="659" spans="1:9" x14ac:dyDescent="0.25">
      <c r="A659" s="17"/>
      <c r="B659" s="17"/>
      <c r="C659" s="30"/>
      <c r="D659" s="17"/>
      <c r="E659" s="17"/>
      <c r="F659" s="17"/>
      <c r="G659" s="17"/>
      <c r="H659" s="17"/>
      <c r="I659" s="17"/>
    </row>
    <row r="660" spans="1:9" x14ac:dyDescent="0.25">
      <c r="A660" s="17"/>
      <c r="B660" s="17"/>
      <c r="C660" s="30"/>
      <c r="D660" s="17"/>
      <c r="E660" s="17"/>
      <c r="F660" s="17"/>
      <c r="G660" s="17"/>
      <c r="H660" s="17"/>
      <c r="I660" s="17"/>
    </row>
    <row r="661" spans="1:9" x14ac:dyDescent="0.25">
      <c r="A661" s="17"/>
      <c r="B661" s="17"/>
      <c r="C661" s="30"/>
      <c r="D661" s="17"/>
      <c r="E661" s="17"/>
      <c r="F661" s="17"/>
      <c r="G661" s="17"/>
      <c r="H661" s="17"/>
      <c r="I661" s="17"/>
    </row>
    <row r="662" spans="1:9" x14ac:dyDescent="0.25">
      <c r="A662" s="17"/>
      <c r="B662" s="17"/>
      <c r="C662" s="30"/>
      <c r="D662" s="17"/>
      <c r="E662" s="17"/>
      <c r="F662" s="17"/>
      <c r="G662" s="17"/>
      <c r="H662" s="17"/>
      <c r="I662" s="17"/>
    </row>
    <row r="663" spans="1:9" x14ac:dyDescent="0.25">
      <c r="A663" s="17"/>
      <c r="B663" s="17"/>
      <c r="C663" s="30"/>
      <c r="D663" s="17"/>
      <c r="E663" s="17"/>
      <c r="F663" s="17"/>
      <c r="G663" s="17"/>
      <c r="H663" s="17"/>
      <c r="I663" s="17"/>
    </row>
    <row r="664" spans="1:9" x14ac:dyDescent="0.25">
      <c r="A664" s="17"/>
      <c r="B664" s="17"/>
      <c r="C664" s="30"/>
      <c r="D664" s="17"/>
      <c r="E664" s="17"/>
      <c r="F664" s="17"/>
      <c r="G664" s="17"/>
      <c r="H664" s="17"/>
      <c r="I664" s="17"/>
    </row>
    <row r="665" spans="1:9" x14ac:dyDescent="0.25">
      <c r="A665" s="17"/>
      <c r="B665" s="17"/>
      <c r="C665" s="30"/>
      <c r="D665" s="17"/>
      <c r="E665" s="17"/>
      <c r="F665" s="17"/>
      <c r="G665" s="17"/>
      <c r="H665" s="17"/>
      <c r="I665" s="17"/>
    </row>
    <row r="666" spans="1:9" x14ac:dyDescent="0.25">
      <c r="A666" s="17"/>
      <c r="B666" s="17"/>
      <c r="C666" s="30"/>
      <c r="D666" s="17"/>
      <c r="E666" s="17"/>
      <c r="F666" s="17"/>
      <c r="G666" s="17"/>
      <c r="H666" s="17"/>
      <c r="I666" s="17"/>
    </row>
    <row r="667" spans="1:9" x14ac:dyDescent="0.25">
      <c r="A667" s="17"/>
      <c r="B667" s="17"/>
      <c r="C667" s="30"/>
      <c r="D667" s="17"/>
      <c r="E667" s="17"/>
      <c r="F667" s="17"/>
      <c r="G667" s="17"/>
      <c r="H667" s="17"/>
      <c r="I667" s="17"/>
    </row>
    <row r="668" spans="1:9" x14ac:dyDescent="0.25">
      <c r="A668" s="17"/>
      <c r="B668" s="17"/>
      <c r="C668" s="30"/>
      <c r="D668" s="17"/>
      <c r="E668" s="17"/>
      <c r="F668" s="17"/>
      <c r="G668" s="17"/>
      <c r="H668" s="17"/>
      <c r="I668" s="17"/>
    </row>
    <row r="669" spans="1:9" x14ac:dyDescent="0.25">
      <c r="A669" s="17"/>
      <c r="B669" s="17"/>
      <c r="C669" s="30"/>
      <c r="D669" s="17"/>
      <c r="E669" s="17"/>
      <c r="F669" s="17"/>
      <c r="G669" s="17"/>
      <c r="H669" s="17"/>
      <c r="I669" s="17"/>
    </row>
    <row r="670" spans="1:9" x14ac:dyDescent="0.25">
      <c r="A670" s="17"/>
      <c r="B670" s="17"/>
      <c r="C670" s="30"/>
      <c r="D670" s="17"/>
      <c r="E670" s="17"/>
      <c r="F670" s="17"/>
      <c r="G670" s="17"/>
      <c r="H670" s="17"/>
      <c r="I670" s="17"/>
    </row>
    <row r="671" spans="1:9" x14ac:dyDescent="0.25">
      <c r="A671" s="17"/>
      <c r="B671" s="17"/>
      <c r="C671" s="30"/>
      <c r="D671" s="17"/>
      <c r="E671" s="17"/>
      <c r="F671" s="17"/>
      <c r="G671" s="17"/>
      <c r="H671" s="17"/>
      <c r="I671" s="17"/>
    </row>
    <row r="672" spans="1:9" x14ac:dyDescent="0.25">
      <c r="A672" s="17"/>
      <c r="B672" s="17"/>
      <c r="C672" s="30"/>
      <c r="D672" s="17"/>
      <c r="E672" s="17"/>
      <c r="F672" s="17"/>
      <c r="G672" s="17"/>
      <c r="H672" s="17"/>
      <c r="I672" s="17"/>
    </row>
    <row r="673" spans="1:9" x14ac:dyDescent="0.25">
      <c r="A673" s="17"/>
      <c r="B673" s="17"/>
      <c r="C673" s="30"/>
      <c r="D673" s="17"/>
      <c r="E673" s="17"/>
      <c r="F673" s="17"/>
      <c r="G673" s="17"/>
      <c r="H673" s="17"/>
      <c r="I673" s="17"/>
    </row>
    <row r="674" spans="1:9" x14ac:dyDescent="0.25">
      <c r="A674" s="17"/>
      <c r="B674" s="17"/>
      <c r="C674" s="30"/>
      <c r="D674" s="17"/>
      <c r="E674" s="17"/>
      <c r="F674" s="17"/>
      <c r="G674" s="17"/>
      <c r="H674" s="17"/>
      <c r="I674" s="17"/>
    </row>
    <row r="675" spans="1:9" x14ac:dyDescent="0.25">
      <c r="A675" s="17"/>
      <c r="B675" s="17"/>
      <c r="C675" s="30"/>
      <c r="D675" s="17"/>
      <c r="E675" s="17"/>
      <c r="F675" s="17"/>
      <c r="G675" s="17"/>
      <c r="H675" s="17"/>
      <c r="I675" s="17"/>
    </row>
    <row r="676" spans="1:9" x14ac:dyDescent="0.25">
      <c r="A676" s="17"/>
      <c r="B676" s="17"/>
      <c r="C676" s="30"/>
      <c r="D676" s="17"/>
      <c r="E676" s="17"/>
      <c r="F676" s="17"/>
      <c r="G676" s="17"/>
      <c r="H676" s="17"/>
      <c r="I676" s="17"/>
    </row>
    <row r="677" spans="1:9" x14ac:dyDescent="0.25">
      <c r="A677" s="17"/>
      <c r="B677" s="17"/>
      <c r="C677" s="30"/>
      <c r="D677" s="17"/>
      <c r="E677" s="17"/>
      <c r="F677" s="17"/>
      <c r="G677" s="17"/>
      <c r="H677" s="17"/>
      <c r="I677" s="17"/>
    </row>
    <row r="678" spans="1:9" x14ac:dyDescent="0.25">
      <c r="A678" s="17"/>
      <c r="B678" s="17"/>
      <c r="C678" s="30"/>
      <c r="D678" s="17"/>
      <c r="E678" s="17"/>
      <c r="F678" s="17"/>
      <c r="G678" s="17"/>
      <c r="H678" s="17"/>
      <c r="I678" s="17"/>
    </row>
    <row r="679" spans="1:9" x14ac:dyDescent="0.25">
      <c r="A679" s="17"/>
      <c r="B679" s="17"/>
      <c r="C679" s="30"/>
      <c r="D679" s="17"/>
      <c r="E679" s="17"/>
      <c r="F679" s="17"/>
      <c r="G679" s="17"/>
      <c r="H679" s="17"/>
      <c r="I679" s="17"/>
    </row>
    <row r="680" spans="1:9" x14ac:dyDescent="0.25">
      <c r="A680" s="17"/>
      <c r="B680" s="17"/>
      <c r="C680" s="30"/>
      <c r="D680" s="17"/>
      <c r="E680" s="17"/>
      <c r="F680" s="17"/>
      <c r="G680" s="17"/>
      <c r="H680" s="17"/>
      <c r="I680" s="17"/>
    </row>
    <row r="681" spans="1:9" x14ac:dyDescent="0.25">
      <c r="A681" s="17"/>
      <c r="B681" s="17"/>
      <c r="C681" s="30"/>
      <c r="D681" s="17"/>
      <c r="E681" s="17"/>
      <c r="F681" s="17"/>
      <c r="G681" s="17"/>
      <c r="H681" s="17"/>
      <c r="I681" s="17"/>
    </row>
    <row r="682" spans="1:9" x14ac:dyDescent="0.25">
      <c r="A682" s="17"/>
      <c r="B682" s="17"/>
      <c r="C682" s="30"/>
      <c r="D682" s="17"/>
      <c r="E682" s="17"/>
      <c r="F682" s="17"/>
      <c r="G682" s="17"/>
      <c r="H682" s="17"/>
      <c r="I682" s="17"/>
    </row>
    <row r="683" spans="1:9" x14ac:dyDescent="0.25">
      <c r="A683" s="17"/>
      <c r="B683" s="17"/>
      <c r="C683" s="30"/>
      <c r="D683" s="17"/>
      <c r="E683" s="17"/>
      <c r="F683" s="17"/>
      <c r="G683" s="17"/>
      <c r="H683" s="17"/>
      <c r="I683" s="17"/>
    </row>
    <row r="684" spans="1:9" x14ac:dyDescent="0.25">
      <c r="A684" s="17"/>
      <c r="B684" s="17"/>
      <c r="C684" s="30"/>
      <c r="D684" s="17"/>
      <c r="E684" s="17"/>
      <c r="F684" s="17"/>
      <c r="G684" s="17"/>
      <c r="H684" s="17"/>
      <c r="I684" s="17"/>
    </row>
    <row r="685" spans="1:9" x14ac:dyDescent="0.25">
      <c r="A685" s="17"/>
      <c r="B685" s="17"/>
      <c r="C685" s="30"/>
      <c r="D685" s="17"/>
      <c r="E685" s="17"/>
      <c r="F685" s="17"/>
      <c r="G685" s="17"/>
      <c r="H685" s="17"/>
      <c r="I685" s="17"/>
    </row>
    <row r="686" spans="1:9" x14ac:dyDescent="0.25">
      <c r="A686" s="17"/>
      <c r="B686" s="17"/>
      <c r="C686" s="30"/>
      <c r="D686" s="17"/>
      <c r="E686" s="17"/>
      <c r="F686" s="17"/>
      <c r="G686" s="17"/>
      <c r="H686" s="17"/>
      <c r="I686" s="17"/>
    </row>
    <row r="687" spans="1:9" x14ac:dyDescent="0.25">
      <c r="A687" s="17"/>
      <c r="B687" s="17"/>
      <c r="C687" s="30"/>
      <c r="D687" s="17"/>
      <c r="E687" s="17"/>
      <c r="F687" s="17"/>
      <c r="G687" s="17"/>
      <c r="H687" s="17"/>
      <c r="I687" s="17"/>
    </row>
    <row r="688" spans="1:9" x14ac:dyDescent="0.25">
      <c r="A688" s="17"/>
      <c r="B688" s="17"/>
      <c r="C688" s="30"/>
      <c r="D688" s="17"/>
      <c r="E688" s="17"/>
      <c r="F688" s="17"/>
      <c r="G688" s="17"/>
      <c r="H688" s="17"/>
      <c r="I688" s="17"/>
    </row>
    <row r="689" spans="1:9" x14ac:dyDescent="0.25">
      <c r="A689" s="17"/>
      <c r="B689" s="17"/>
      <c r="C689" s="30"/>
      <c r="D689" s="17"/>
      <c r="E689" s="17"/>
      <c r="F689" s="17"/>
      <c r="G689" s="17"/>
      <c r="H689" s="17"/>
      <c r="I689" s="17"/>
    </row>
    <row r="690" spans="1:9" x14ac:dyDescent="0.25">
      <c r="A690" s="17"/>
      <c r="B690" s="17"/>
      <c r="C690" s="30"/>
      <c r="D690" s="17"/>
      <c r="E690" s="17"/>
      <c r="F690" s="17"/>
      <c r="G690" s="17"/>
      <c r="H690" s="17"/>
      <c r="I690" s="17"/>
    </row>
    <row r="691" spans="1:9" x14ac:dyDescent="0.25">
      <c r="A691" s="17"/>
      <c r="B691" s="17"/>
      <c r="C691" s="30"/>
      <c r="D691" s="17"/>
      <c r="E691" s="17"/>
      <c r="F691" s="17"/>
      <c r="G691" s="17"/>
      <c r="H691" s="17"/>
      <c r="I691" s="17"/>
    </row>
    <row r="692" spans="1:9" x14ac:dyDescent="0.25">
      <c r="A692" s="17"/>
      <c r="B692" s="17"/>
      <c r="C692" s="30"/>
      <c r="D692" s="17"/>
      <c r="E692" s="17"/>
      <c r="F692" s="17"/>
      <c r="G692" s="17"/>
      <c r="H692" s="17"/>
      <c r="I692" s="17"/>
    </row>
    <row r="693" spans="1:9" x14ac:dyDescent="0.25">
      <c r="A693" s="17"/>
      <c r="B693" s="17"/>
      <c r="C693" s="30"/>
      <c r="D693" s="17"/>
      <c r="E693" s="17"/>
      <c r="F693" s="17"/>
      <c r="G693" s="17"/>
      <c r="H693" s="17"/>
      <c r="I693" s="17"/>
    </row>
    <row r="694" spans="1:9" x14ac:dyDescent="0.25">
      <c r="A694" s="17"/>
      <c r="B694" s="17"/>
      <c r="C694" s="30"/>
      <c r="D694" s="17"/>
      <c r="E694" s="17"/>
      <c r="F694" s="17"/>
      <c r="G694" s="17"/>
      <c r="H694" s="17"/>
      <c r="I694" s="17"/>
    </row>
    <row r="695" spans="1:9" x14ac:dyDescent="0.25">
      <c r="A695" s="17"/>
      <c r="B695" s="17"/>
      <c r="C695" s="30"/>
      <c r="D695" s="17"/>
      <c r="E695" s="17"/>
      <c r="F695" s="17"/>
      <c r="G695" s="17"/>
      <c r="H695" s="17"/>
      <c r="I695" s="17"/>
    </row>
    <row r="696" spans="1:9" x14ac:dyDescent="0.25">
      <c r="A696" s="17"/>
      <c r="B696" s="17"/>
      <c r="C696" s="30"/>
      <c r="D696" s="17"/>
      <c r="E696" s="17"/>
      <c r="F696" s="17"/>
      <c r="G696" s="17"/>
      <c r="H696" s="17"/>
      <c r="I696" s="17"/>
    </row>
    <row r="697" spans="1:9" x14ac:dyDescent="0.25">
      <c r="A697" s="17"/>
      <c r="B697" s="17"/>
      <c r="C697" s="30"/>
      <c r="D697" s="17"/>
      <c r="E697" s="17"/>
      <c r="F697" s="17"/>
      <c r="G697" s="17"/>
      <c r="H697" s="17"/>
      <c r="I697" s="17"/>
    </row>
    <row r="698" spans="1:9" x14ac:dyDescent="0.25">
      <c r="A698" s="17"/>
      <c r="B698" s="17"/>
      <c r="C698" s="30"/>
      <c r="D698" s="17"/>
      <c r="E698" s="17"/>
      <c r="F698" s="17"/>
      <c r="G698" s="17"/>
      <c r="H698" s="17"/>
      <c r="I698" s="17"/>
    </row>
    <row r="699" spans="1:9" x14ac:dyDescent="0.25">
      <c r="A699" s="17"/>
      <c r="B699" s="17"/>
      <c r="C699" s="30"/>
      <c r="D699" s="17"/>
      <c r="E699" s="17"/>
      <c r="F699" s="17"/>
      <c r="G699" s="17"/>
      <c r="H699" s="17"/>
      <c r="I699" s="17"/>
    </row>
    <row r="700" spans="1:9" x14ac:dyDescent="0.25">
      <c r="A700" s="17"/>
      <c r="B700" s="17"/>
      <c r="C700" s="30"/>
      <c r="D700" s="17"/>
      <c r="E700" s="17"/>
      <c r="F700" s="17"/>
      <c r="G700" s="17"/>
      <c r="H700" s="17"/>
      <c r="I700" s="17"/>
    </row>
    <row r="701" spans="1:9" x14ac:dyDescent="0.25">
      <c r="A701" s="17"/>
      <c r="B701" s="17"/>
      <c r="C701" s="30"/>
      <c r="D701" s="17"/>
      <c r="E701" s="17"/>
      <c r="F701" s="17"/>
      <c r="G701" s="17"/>
      <c r="H701" s="17"/>
      <c r="I701" s="17"/>
    </row>
    <row r="702" spans="1:9" x14ac:dyDescent="0.25">
      <c r="A702" s="17"/>
      <c r="B702" s="17"/>
      <c r="C702" s="30"/>
      <c r="D702" s="17"/>
      <c r="E702" s="17"/>
      <c r="F702" s="17"/>
      <c r="G702" s="17"/>
      <c r="H702" s="17"/>
      <c r="I702" s="17"/>
    </row>
    <row r="703" spans="1:9" x14ac:dyDescent="0.25">
      <c r="A703" s="17"/>
      <c r="B703" s="17"/>
      <c r="C703" s="30"/>
      <c r="D703" s="17"/>
      <c r="E703" s="17"/>
      <c r="F703" s="17"/>
      <c r="G703" s="17"/>
      <c r="H703" s="17"/>
      <c r="I703" s="17"/>
    </row>
    <row r="704" spans="1:9" x14ac:dyDescent="0.25">
      <c r="A704" s="17"/>
      <c r="B704" s="17"/>
      <c r="C704" s="30"/>
      <c r="D704" s="17"/>
      <c r="E704" s="17"/>
      <c r="F704" s="17"/>
      <c r="G704" s="17"/>
      <c r="H704" s="17"/>
      <c r="I704" s="17"/>
    </row>
    <row r="705" spans="1:9" x14ac:dyDescent="0.25">
      <c r="A705" s="17"/>
      <c r="B705" s="17"/>
      <c r="C705" s="30"/>
      <c r="D705" s="17"/>
      <c r="E705" s="17"/>
      <c r="F705" s="17"/>
      <c r="G705" s="17"/>
      <c r="H705" s="17"/>
      <c r="I705" s="17"/>
    </row>
    <row r="706" spans="1:9" x14ac:dyDescent="0.25">
      <c r="A706" s="17"/>
      <c r="B706" s="17"/>
      <c r="C706" s="30"/>
      <c r="D706" s="17"/>
      <c r="E706" s="17"/>
      <c r="F706" s="17"/>
      <c r="G706" s="17"/>
      <c r="H706" s="17"/>
      <c r="I706" s="17"/>
    </row>
    <row r="707" spans="1:9" x14ac:dyDescent="0.25">
      <c r="A707" s="17"/>
      <c r="B707" s="17"/>
      <c r="C707" s="30"/>
      <c r="D707" s="17"/>
      <c r="E707" s="17"/>
      <c r="F707" s="17"/>
      <c r="G707" s="17"/>
      <c r="H707" s="17"/>
      <c r="I707" s="17"/>
    </row>
    <row r="708" spans="1:9" x14ac:dyDescent="0.25">
      <c r="A708" s="17"/>
      <c r="B708" s="17"/>
      <c r="C708" s="30"/>
      <c r="D708" s="17"/>
      <c r="E708" s="17"/>
      <c r="F708" s="17"/>
      <c r="G708" s="17"/>
      <c r="H708" s="17"/>
      <c r="I708" s="17"/>
    </row>
    <row r="709" spans="1:9" x14ac:dyDescent="0.25">
      <c r="A709" s="17"/>
      <c r="B709" s="17"/>
      <c r="C709" s="30"/>
      <c r="D709" s="17"/>
      <c r="E709" s="17"/>
      <c r="F709" s="17"/>
      <c r="G709" s="17"/>
      <c r="H709" s="17"/>
      <c r="I709" s="17"/>
    </row>
    <row r="710" spans="1:9" x14ac:dyDescent="0.25">
      <c r="A710" s="17"/>
      <c r="B710" s="17"/>
      <c r="C710" s="30"/>
      <c r="D710" s="17"/>
      <c r="E710" s="17"/>
      <c r="F710" s="17"/>
      <c r="G710" s="17"/>
      <c r="H710" s="17"/>
      <c r="I710" s="17"/>
    </row>
    <row r="711" spans="1:9" x14ac:dyDescent="0.25">
      <c r="A711" s="17"/>
      <c r="B711" s="17"/>
      <c r="C711" s="30"/>
      <c r="D711" s="17"/>
      <c r="E711" s="17"/>
      <c r="F711" s="17"/>
      <c r="G711" s="17"/>
      <c r="H711" s="17"/>
      <c r="I711" s="17"/>
    </row>
    <row r="712" spans="1:9" x14ac:dyDescent="0.25">
      <c r="A712" s="17"/>
      <c r="B712" s="17"/>
      <c r="C712" s="30"/>
      <c r="D712" s="17"/>
      <c r="E712" s="17"/>
      <c r="F712" s="17"/>
      <c r="G712" s="17"/>
      <c r="H712" s="17"/>
      <c r="I712" s="17"/>
    </row>
    <row r="713" spans="1:9" x14ac:dyDescent="0.25">
      <c r="A713" s="17"/>
      <c r="B713" s="17"/>
      <c r="C713" s="30"/>
      <c r="D713" s="17"/>
      <c r="E713" s="17"/>
      <c r="F713" s="17"/>
      <c r="G713" s="17"/>
      <c r="H713" s="17"/>
      <c r="I713" s="17"/>
    </row>
    <row r="714" spans="1:9" x14ac:dyDescent="0.25">
      <c r="A714" s="17"/>
      <c r="B714" s="17"/>
      <c r="C714" s="30"/>
      <c r="D714" s="17"/>
      <c r="E714" s="17"/>
      <c r="F714" s="17"/>
      <c r="G714" s="17"/>
      <c r="H714" s="17"/>
      <c r="I714" s="17"/>
    </row>
    <row r="715" spans="1:9" x14ac:dyDescent="0.25">
      <c r="A715" s="17"/>
      <c r="B715" s="17"/>
      <c r="C715" s="30"/>
      <c r="D715" s="17"/>
      <c r="E715" s="17"/>
      <c r="F715" s="17"/>
      <c r="G715" s="17"/>
      <c r="H715" s="17"/>
      <c r="I715" s="17"/>
    </row>
    <row r="716" spans="1:9" x14ac:dyDescent="0.25">
      <c r="A716" s="17"/>
      <c r="B716" s="17"/>
      <c r="C716" s="30"/>
      <c r="D716" s="17"/>
      <c r="E716" s="17"/>
      <c r="F716" s="17"/>
      <c r="G716" s="17"/>
      <c r="H716" s="17"/>
      <c r="I716" s="17"/>
    </row>
    <row r="717" spans="1:9" x14ac:dyDescent="0.25">
      <c r="A717" s="17"/>
      <c r="B717" s="17"/>
      <c r="C717" s="30"/>
      <c r="D717" s="17"/>
      <c r="E717" s="17"/>
      <c r="F717" s="17"/>
      <c r="G717" s="17"/>
      <c r="H717" s="17"/>
      <c r="I717" s="17"/>
    </row>
    <row r="718" spans="1:9" x14ac:dyDescent="0.25">
      <c r="A718" s="17"/>
      <c r="B718" s="17"/>
      <c r="C718" s="30"/>
      <c r="D718" s="17"/>
      <c r="E718" s="17"/>
      <c r="F718" s="17"/>
      <c r="G718" s="17"/>
      <c r="H718" s="17"/>
      <c r="I718" s="17"/>
    </row>
    <row r="719" spans="1:9" x14ac:dyDescent="0.25">
      <c r="A719" s="17"/>
      <c r="B719" s="17"/>
      <c r="C719" s="30"/>
      <c r="D719" s="17"/>
      <c r="E719" s="17"/>
      <c r="F719" s="17"/>
      <c r="G719" s="17"/>
      <c r="H719" s="17"/>
      <c r="I719" s="17"/>
    </row>
    <row r="720" spans="1:9" x14ac:dyDescent="0.25">
      <c r="A720" s="17"/>
      <c r="B720" s="17"/>
      <c r="C720" s="30"/>
      <c r="D720" s="17"/>
      <c r="E720" s="17"/>
      <c r="F720" s="17"/>
      <c r="G720" s="17"/>
      <c r="H720" s="17"/>
      <c r="I720" s="17"/>
    </row>
    <row r="721" spans="1:9" x14ac:dyDescent="0.25">
      <c r="A721" s="17"/>
      <c r="B721" s="17"/>
      <c r="C721" s="30"/>
      <c r="D721" s="17"/>
      <c r="E721" s="17"/>
      <c r="F721" s="17"/>
      <c r="G721" s="17"/>
      <c r="H721" s="17"/>
      <c r="I721" s="17"/>
    </row>
    <row r="722" spans="1:9" x14ac:dyDescent="0.25">
      <c r="A722" s="17"/>
      <c r="B722" s="17"/>
      <c r="C722" s="30"/>
      <c r="D722" s="17"/>
      <c r="E722" s="17"/>
      <c r="F722" s="17"/>
      <c r="G722" s="17"/>
      <c r="H722" s="17"/>
      <c r="I722" s="17"/>
    </row>
    <row r="723" spans="1:9" x14ac:dyDescent="0.25">
      <c r="A723" s="17"/>
      <c r="B723" s="17"/>
      <c r="C723" s="30"/>
      <c r="D723" s="17"/>
      <c r="E723" s="17"/>
      <c r="F723" s="17"/>
      <c r="G723" s="17"/>
      <c r="H723" s="17"/>
      <c r="I723" s="17"/>
    </row>
    <row r="724" spans="1:9" x14ac:dyDescent="0.25">
      <c r="A724" s="17"/>
      <c r="B724" s="17"/>
      <c r="C724" s="30"/>
      <c r="D724" s="17"/>
      <c r="E724" s="17"/>
      <c r="F724" s="17"/>
      <c r="G724" s="17"/>
      <c r="H724" s="17"/>
      <c r="I724" s="17"/>
    </row>
    <row r="725" spans="1:9" x14ac:dyDescent="0.25">
      <c r="A725" s="17"/>
      <c r="B725" s="17"/>
      <c r="C725" s="30"/>
      <c r="D725" s="17"/>
      <c r="E725" s="17"/>
      <c r="F725" s="17"/>
      <c r="G725" s="17"/>
      <c r="H725" s="17"/>
      <c r="I725" s="17"/>
    </row>
    <row r="726" spans="1:9" x14ac:dyDescent="0.25">
      <c r="A726" s="17"/>
      <c r="B726" s="17"/>
      <c r="C726" s="30"/>
      <c r="D726" s="17"/>
      <c r="E726" s="17"/>
      <c r="F726" s="17"/>
      <c r="G726" s="17"/>
      <c r="H726" s="17"/>
      <c r="I726" s="17"/>
    </row>
    <row r="727" spans="1:9" x14ac:dyDescent="0.25">
      <c r="A727" s="17"/>
      <c r="B727" s="17"/>
      <c r="C727" s="30"/>
      <c r="D727" s="17"/>
      <c r="E727" s="17"/>
      <c r="F727" s="17"/>
      <c r="G727" s="17"/>
      <c r="H727" s="17"/>
      <c r="I727" s="17"/>
    </row>
    <row r="728" spans="1:9" x14ac:dyDescent="0.25">
      <c r="A728" s="17"/>
      <c r="B728" s="17"/>
      <c r="C728" s="30"/>
      <c r="D728" s="17"/>
      <c r="E728" s="17"/>
      <c r="F728" s="17"/>
      <c r="G728" s="17"/>
      <c r="H728" s="17"/>
      <c r="I728" s="17"/>
    </row>
    <row r="729" spans="1:9" x14ac:dyDescent="0.25">
      <c r="A729" s="17"/>
      <c r="B729" s="17"/>
      <c r="C729" s="30"/>
      <c r="D729" s="17"/>
      <c r="E729" s="17"/>
      <c r="F729" s="17"/>
      <c r="G729" s="17"/>
      <c r="H729" s="17"/>
      <c r="I729" s="17"/>
    </row>
    <row r="730" spans="1:9" x14ac:dyDescent="0.25">
      <c r="A730" s="17"/>
      <c r="B730" s="17"/>
      <c r="C730" s="30"/>
      <c r="D730" s="17"/>
      <c r="E730" s="17"/>
      <c r="F730" s="17"/>
      <c r="G730" s="17"/>
      <c r="H730" s="17"/>
      <c r="I730" s="17"/>
    </row>
    <row r="731" spans="1:9" x14ac:dyDescent="0.25">
      <c r="A731" s="17"/>
      <c r="B731" s="17"/>
      <c r="C731" s="30"/>
      <c r="D731" s="17"/>
      <c r="E731" s="17"/>
      <c r="F731" s="17"/>
      <c r="G731" s="17"/>
      <c r="H731" s="17"/>
      <c r="I731" s="17"/>
    </row>
    <row r="732" spans="1:9" x14ac:dyDescent="0.25">
      <c r="A732" s="17"/>
      <c r="B732" s="17"/>
      <c r="C732" s="30"/>
      <c r="D732" s="17"/>
      <c r="E732" s="17"/>
      <c r="F732" s="17"/>
      <c r="G732" s="17"/>
      <c r="H732" s="17"/>
      <c r="I732" s="17"/>
    </row>
    <row r="733" spans="1:9" x14ac:dyDescent="0.25">
      <c r="A733" s="17"/>
      <c r="B733" s="17"/>
      <c r="C733" s="30"/>
      <c r="D733" s="17"/>
      <c r="E733" s="17"/>
      <c r="F733" s="17"/>
      <c r="G733" s="17"/>
      <c r="H733" s="17"/>
      <c r="I733" s="17"/>
    </row>
    <row r="734" spans="1:9" x14ac:dyDescent="0.25">
      <c r="A734" s="17"/>
      <c r="B734" s="17"/>
      <c r="C734" s="30"/>
      <c r="D734" s="17"/>
      <c r="E734" s="17"/>
      <c r="F734" s="17"/>
      <c r="G734" s="17"/>
      <c r="H734" s="17"/>
      <c r="I734" s="17"/>
    </row>
    <row r="735" spans="1:9" x14ac:dyDescent="0.25">
      <c r="A735" s="17"/>
      <c r="B735" s="17"/>
      <c r="C735" s="30"/>
      <c r="D735" s="17"/>
      <c r="E735" s="17"/>
      <c r="F735" s="17"/>
      <c r="G735" s="17"/>
      <c r="H735" s="17"/>
      <c r="I735" s="17"/>
    </row>
    <row r="736" spans="1:9" x14ac:dyDescent="0.25">
      <c r="A736" s="17"/>
      <c r="B736" s="17"/>
      <c r="C736" s="30"/>
      <c r="D736" s="17"/>
      <c r="E736" s="17"/>
      <c r="F736" s="17"/>
      <c r="G736" s="17"/>
      <c r="H736" s="17"/>
      <c r="I736" s="17"/>
    </row>
    <row r="737" spans="1:9" x14ac:dyDescent="0.25">
      <c r="A737" s="17"/>
      <c r="B737" s="17"/>
      <c r="C737" s="30"/>
      <c r="D737" s="17"/>
      <c r="E737" s="17"/>
      <c r="F737" s="17"/>
      <c r="G737" s="17"/>
      <c r="H737" s="17"/>
      <c r="I737" s="17"/>
    </row>
    <row r="738" spans="1:9" x14ac:dyDescent="0.25">
      <c r="A738" s="17"/>
      <c r="B738" s="17"/>
      <c r="C738" s="30"/>
      <c r="D738" s="17"/>
      <c r="E738" s="17"/>
      <c r="F738" s="17"/>
      <c r="G738" s="17"/>
      <c r="H738" s="17"/>
      <c r="I738" s="17"/>
    </row>
    <row r="739" spans="1:9" x14ac:dyDescent="0.25">
      <c r="A739" s="17"/>
      <c r="B739" s="17"/>
      <c r="C739" s="30"/>
      <c r="D739" s="17"/>
      <c r="E739" s="17"/>
      <c r="F739" s="17"/>
      <c r="G739" s="17"/>
      <c r="H739" s="17"/>
      <c r="I739" s="17"/>
    </row>
    <row r="740" spans="1:9" x14ac:dyDescent="0.25">
      <c r="A740" s="17"/>
      <c r="B740" s="17"/>
      <c r="C740" s="30"/>
      <c r="D740" s="17"/>
      <c r="E740" s="17"/>
      <c r="F740" s="17"/>
      <c r="G740" s="17"/>
      <c r="H740" s="17"/>
      <c r="I740" s="17"/>
    </row>
    <row r="741" spans="1:9" x14ac:dyDescent="0.25">
      <c r="A741" s="17"/>
      <c r="B741" s="17"/>
      <c r="C741" s="30"/>
      <c r="D741" s="17"/>
      <c r="E741" s="17"/>
      <c r="F741" s="17"/>
      <c r="G741" s="17"/>
      <c r="H741" s="17"/>
      <c r="I741" s="17"/>
    </row>
    <row r="742" spans="1:9" x14ac:dyDescent="0.25">
      <c r="A742" s="17"/>
      <c r="B742" s="17"/>
      <c r="C742" s="30"/>
      <c r="D742" s="17"/>
      <c r="E742" s="17"/>
      <c r="F742" s="17"/>
      <c r="G742" s="17"/>
      <c r="H742" s="17"/>
      <c r="I742" s="17"/>
    </row>
    <row r="743" spans="1:9" x14ac:dyDescent="0.25">
      <c r="A743" s="17"/>
      <c r="B743" s="17"/>
      <c r="C743" s="30"/>
      <c r="D743" s="17"/>
      <c r="E743" s="17"/>
      <c r="F743" s="17"/>
      <c r="G743" s="17"/>
      <c r="H743" s="17"/>
      <c r="I743" s="17"/>
    </row>
    <row r="744" spans="1:9" x14ac:dyDescent="0.25">
      <c r="A744" s="17"/>
      <c r="B744" s="17"/>
      <c r="C744" s="30"/>
      <c r="D744" s="17"/>
      <c r="E744" s="17"/>
      <c r="F744" s="17"/>
      <c r="G744" s="17"/>
      <c r="H744" s="17"/>
      <c r="I744" s="17"/>
    </row>
    <row r="745" spans="1:9" x14ac:dyDescent="0.25">
      <c r="A745" s="17"/>
      <c r="B745" s="17"/>
      <c r="C745" s="30"/>
      <c r="D745" s="17"/>
      <c r="E745" s="17"/>
      <c r="F745" s="17"/>
      <c r="G745" s="17"/>
      <c r="H745" s="17"/>
      <c r="I745" s="17"/>
    </row>
    <row r="746" spans="1:9" x14ac:dyDescent="0.25">
      <c r="A746" s="17"/>
      <c r="B746" s="17"/>
      <c r="C746" s="30"/>
      <c r="D746" s="17"/>
      <c r="E746" s="17"/>
      <c r="F746" s="17"/>
      <c r="G746" s="17"/>
      <c r="H746" s="17"/>
      <c r="I746" s="17"/>
    </row>
    <row r="747" spans="1:9" x14ac:dyDescent="0.25">
      <c r="A747" s="17"/>
      <c r="B747" s="17"/>
      <c r="C747" s="30"/>
      <c r="D747" s="17"/>
      <c r="E747" s="17"/>
      <c r="F747" s="17"/>
      <c r="G747" s="17"/>
      <c r="H747" s="17"/>
      <c r="I747" s="17"/>
    </row>
    <row r="748" spans="1:9" x14ac:dyDescent="0.25">
      <c r="A748" s="17"/>
      <c r="B748" s="17"/>
      <c r="C748" s="30"/>
      <c r="D748" s="17"/>
      <c r="E748" s="17"/>
      <c r="F748" s="17"/>
      <c r="G748" s="17"/>
      <c r="H748" s="17"/>
      <c r="I748" s="17"/>
    </row>
    <row r="749" spans="1:9" x14ac:dyDescent="0.25">
      <c r="A749" s="17"/>
      <c r="B749" s="17"/>
      <c r="C749" s="30"/>
      <c r="D749" s="17"/>
      <c r="E749" s="17"/>
      <c r="F749" s="17"/>
      <c r="G749" s="17"/>
      <c r="H749" s="17"/>
      <c r="I749" s="17"/>
    </row>
    <row r="750" spans="1:9" x14ac:dyDescent="0.25">
      <c r="A750" s="17"/>
      <c r="B750" s="17"/>
      <c r="C750" s="30"/>
      <c r="D750" s="17"/>
      <c r="E750" s="17"/>
      <c r="F750" s="17"/>
      <c r="G750" s="17"/>
      <c r="H750" s="17"/>
      <c r="I750" s="17"/>
    </row>
    <row r="751" spans="1:9" x14ac:dyDescent="0.25">
      <c r="A751" s="17"/>
      <c r="B751" s="17"/>
      <c r="C751" s="30"/>
      <c r="D751" s="17"/>
      <c r="E751" s="17"/>
      <c r="F751" s="17"/>
      <c r="G751" s="17"/>
      <c r="H751" s="17"/>
      <c r="I751" s="17"/>
    </row>
    <row r="752" spans="1:9" x14ac:dyDescent="0.25">
      <c r="A752" s="17"/>
      <c r="B752" s="17"/>
      <c r="C752" s="30"/>
      <c r="D752" s="17"/>
      <c r="E752" s="17"/>
      <c r="F752" s="17"/>
      <c r="G752" s="17"/>
      <c r="H752" s="17"/>
      <c r="I752" s="17"/>
    </row>
    <row r="753" spans="1:9" x14ac:dyDescent="0.25">
      <c r="A753" s="17"/>
      <c r="B753" s="17"/>
      <c r="C753" s="30"/>
      <c r="D753" s="17"/>
      <c r="E753" s="17"/>
      <c r="F753" s="17"/>
      <c r="G753" s="17"/>
      <c r="H753" s="17"/>
      <c r="I753" s="17"/>
    </row>
    <row r="754" spans="1:9" x14ac:dyDescent="0.25">
      <c r="A754" s="17"/>
      <c r="B754" s="17"/>
      <c r="C754" s="30"/>
      <c r="D754" s="17"/>
      <c r="E754" s="17"/>
      <c r="F754" s="17"/>
      <c r="G754" s="17"/>
      <c r="H754" s="17"/>
      <c r="I754" s="17"/>
    </row>
    <row r="755" spans="1:9" x14ac:dyDescent="0.25">
      <c r="A755" s="17"/>
      <c r="B755" s="17"/>
      <c r="C755" s="30"/>
      <c r="D755" s="17"/>
      <c r="E755" s="17"/>
      <c r="F755" s="17"/>
      <c r="G755" s="17"/>
      <c r="H755" s="17"/>
      <c r="I755" s="17"/>
    </row>
    <row r="756" spans="1:9" x14ac:dyDescent="0.25">
      <c r="A756" s="17"/>
      <c r="B756" s="17"/>
      <c r="C756" s="30"/>
      <c r="D756" s="17"/>
      <c r="E756" s="17"/>
      <c r="F756" s="17"/>
      <c r="G756" s="17"/>
      <c r="H756" s="17"/>
      <c r="I756" s="17"/>
    </row>
    <row r="757" spans="1:9" x14ac:dyDescent="0.25">
      <c r="A757" s="17"/>
      <c r="B757" s="17"/>
      <c r="C757" s="30"/>
      <c r="D757" s="17"/>
      <c r="E757" s="17"/>
      <c r="F757" s="17"/>
      <c r="G757" s="17"/>
      <c r="H757" s="17"/>
      <c r="I757" s="17"/>
    </row>
    <row r="758" spans="1:9" x14ac:dyDescent="0.25">
      <c r="A758" s="17"/>
      <c r="B758" s="17"/>
      <c r="C758" s="30"/>
      <c r="D758" s="17"/>
      <c r="E758" s="17"/>
      <c r="F758" s="17"/>
      <c r="G758" s="17"/>
      <c r="H758" s="17"/>
      <c r="I758" s="17"/>
    </row>
    <row r="759" spans="1:9" x14ac:dyDescent="0.25">
      <c r="A759" s="17"/>
      <c r="B759" s="17"/>
      <c r="C759" s="30"/>
      <c r="D759" s="17"/>
      <c r="E759" s="17"/>
      <c r="F759" s="17"/>
      <c r="G759" s="17"/>
      <c r="H759" s="17"/>
      <c r="I759" s="17"/>
    </row>
    <row r="760" spans="1:9" x14ac:dyDescent="0.25">
      <c r="A760" s="17"/>
      <c r="B760" s="17"/>
      <c r="C760" s="30"/>
      <c r="D760" s="17"/>
      <c r="E760" s="17"/>
      <c r="F760" s="17"/>
      <c r="G760" s="17"/>
      <c r="H760" s="17"/>
      <c r="I760" s="17"/>
    </row>
    <row r="761" spans="1:9" x14ac:dyDescent="0.25">
      <c r="A761" s="17"/>
      <c r="B761" s="17"/>
      <c r="C761" s="30"/>
      <c r="D761" s="17"/>
      <c r="E761" s="17"/>
      <c r="F761" s="17"/>
      <c r="G761" s="17"/>
      <c r="H761" s="17"/>
      <c r="I761" s="17"/>
    </row>
    <row r="762" spans="1:9" x14ac:dyDescent="0.25">
      <c r="A762" s="17"/>
      <c r="B762" s="17"/>
      <c r="C762" s="30"/>
      <c r="D762" s="17"/>
      <c r="E762" s="17"/>
      <c r="F762" s="17"/>
      <c r="G762" s="17"/>
      <c r="H762" s="17"/>
      <c r="I762" s="17"/>
    </row>
    <row r="763" spans="1:9" x14ac:dyDescent="0.25">
      <c r="A763" s="17"/>
      <c r="B763" s="17"/>
      <c r="C763" s="30"/>
      <c r="D763" s="17"/>
      <c r="E763" s="17"/>
      <c r="F763" s="17"/>
      <c r="G763" s="17"/>
      <c r="H763" s="17"/>
      <c r="I763" s="17"/>
    </row>
    <row r="764" spans="1:9" x14ac:dyDescent="0.25">
      <c r="A764" s="17"/>
      <c r="B764" s="17"/>
      <c r="C764" s="30"/>
      <c r="D764" s="17"/>
      <c r="E764" s="17"/>
      <c r="F764" s="17"/>
      <c r="G764" s="17"/>
      <c r="H764" s="17"/>
      <c r="I764" s="17"/>
    </row>
    <row r="765" spans="1:9" x14ac:dyDescent="0.25">
      <c r="A765" s="17"/>
      <c r="B765" s="17"/>
      <c r="C765" s="30"/>
      <c r="D765" s="17"/>
      <c r="E765" s="17"/>
      <c r="F765" s="17"/>
      <c r="G765" s="17"/>
      <c r="H765" s="17"/>
      <c r="I765" s="17"/>
    </row>
    <row r="766" spans="1:9" x14ac:dyDescent="0.25">
      <c r="A766" s="17"/>
      <c r="B766" s="17"/>
      <c r="C766" s="30"/>
      <c r="D766" s="17"/>
      <c r="E766" s="17"/>
      <c r="F766" s="17"/>
      <c r="G766" s="17"/>
      <c r="H766" s="17"/>
      <c r="I766" s="17"/>
    </row>
    <row r="767" spans="1:9" x14ac:dyDescent="0.25">
      <c r="A767" s="17"/>
      <c r="B767" s="17"/>
      <c r="C767" s="30"/>
      <c r="D767" s="17"/>
      <c r="E767" s="17"/>
      <c r="F767" s="17"/>
      <c r="G767" s="17"/>
      <c r="H767" s="17"/>
      <c r="I767" s="17"/>
    </row>
    <row r="768" spans="1:9" x14ac:dyDescent="0.25">
      <c r="A768" s="17"/>
      <c r="B768" s="17"/>
      <c r="C768" s="30"/>
      <c r="D768" s="17"/>
      <c r="E768" s="17"/>
      <c r="F768" s="17"/>
      <c r="G768" s="17"/>
      <c r="H768" s="17"/>
      <c r="I768" s="17"/>
    </row>
    <row r="769" spans="1:9" x14ac:dyDescent="0.25">
      <c r="A769" s="17"/>
      <c r="B769" s="17"/>
      <c r="C769" s="30"/>
      <c r="D769" s="17"/>
      <c r="E769" s="17"/>
      <c r="F769" s="17"/>
      <c r="G769" s="17"/>
      <c r="H769" s="17"/>
      <c r="I769" s="17"/>
    </row>
    <row r="770" spans="1:9" x14ac:dyDescent="0.25">
      <c r="A770" s="17"/>
      <c r="B770" s="17"/>
      <c r="C770" s="30"/>
      <c r="D770" s="17"/>
      <c r="E770" s="17"/>
      <c r="F770" s="17"/>
      <c r="G770" s="17"/>
      <c r="H770" s="17"/>
      <c r="I770" s="17"/>
    </row>
    <row r="771" spans="1:9" x14ac:dyDescent="0.25">
      <c r="A771" s="17"/>
      <c r="B771" s="17"/>
      <c r="C771" s="30"/>
      <c r="D771" s="17"/>
      <c r="E771" s="17"/>
      <c r="F771" s="17"/>
      <c r="G771" s="17"/>
      <c r="H771" s="17"/>
      <c r="I771" s="17"/>
    </row>
    <row r="772" spans="1:9" x14ac:dyDescent="0.25">
      <c r="A772" s="17"/>
      <c r="B772" s="17"/>
      <c r="C772" s="30"/>
      <c r="D772" s="17"/>
      <c r="E772" s="17"/>
      <c r="F772" s="17"/>
      <c r="G772" s="17"/>
      <c r="H772" s="17"/>
      <c r="I772" s="17"/>
    </row>
    <row r="773" spans="1:9" x14ac:dyDescent="0.25">
      <c r="A773" s="17"/>
      <c r="B773" s="17"/>
      <c r="C773" s="30"/>
      <c r="D773" s="17"/>
      <c r="E773" s="17"/>
      <c r="F773" s="17"/>
      <c r="G773" s="17"/>
      <c r="H773" s="17"/>
      <c r="I773" s="17"/>
    </row>
    <row r="774" spans="1:9" x14ac:dyDescent="0.25">
      <c r="A774" s="17"/>
      <c r="B774" s="17"/>
      <c r="C774" s="30"/>
      <c r="D774" s="17"/>
      <c r="E774" s="17"/>
      <c r="F774" s="17"/>
      <c r="G774" s="17"/>
      <c r="H774" s="17"/>
      <c r="I774" s="17"/>
    </row>
    <row r="775" spans="1:9" x14ac:dyDescent="0.25">
      <c r="A775" s="17"/>
      <c r="B775" s="17"/>
      <c r="C775" s="30"/>
      <c r="D775" s="17"/>
      <c r="E775" s="17"/>
      <c r="F775" s="17"/>
      <c r="G775" s="17"/>
      <c r="H775" s="17"/>
      <c r="I775" s="17"/>
    </row>
    <row r="776" spans="1:9" x14ac:dyDescent="0.25">
      <c r="A776" s="17"/>
      <c r="B776" s="17"/>
      <c r="C776" s="30"/>
      <c r="D776" s="17"/>
      <c r="E776" s="17"/>
      <c r="F776" s="17"/>
      <c r="G776" s="17"/>
      <c r="H776" s="17"/>
      <c r="I776" s="17"/>
    </row>
    <row r="777" spans="1:9" x14ac:dyDescent="0.25">
      <c r="A777" s="17"/>
      <c r="B777" s="17"/>
      <c r="C777" s="30"/>
      <c r="D777" s="17"/>
      <c r="E777" s="17"/>
      <c r="F777" s="17"/>
      <c r="G777" s="17"/>
      <c r="H777" s="17"/>
      <c r="I777" s="17"/>
    </row>
    <row r="778" spans="1:9" x14ac:dyDescent="0.25">
      <c r="A778" s="17"/>
      <c r="B778" s="17"/>
      <c r="C778" s="30"/>
      <c r="D778" s="17"/>
      <c r="E778" s="17"/>
      <c r="F778" s="17"/>
      <c r="G778" s="17"/>
      <c r="H778" s="17"/>
      <c r="I778" s="17"/>
    </row>
    <row r="779" spans="1:9" x14ac:dyDescent="0.25">
      <c r="A779" s="17"/>
      <c r="B779" s="17"/>
      <c r="C779" s="30"/>
      <c r="D779" s="17"/>
      <c r="E779" s="17"/>
      <c r="F779" s="17"/>
      <c r="G779" s="17"/>
      <c r="H779" s="17"/>
      <c r="I779" s="17"/>
    </row>
    <row r="780" spans="1:9" x14ac:dyDescent="0.25">
      <c r="A780" s="17"/>
      <c r="B780" s="17"/>
      <c r="C780" s="30"/>
      <c r="D780" s="17"/>
      <c r="E780" s="17"/>
      <c r="F780" s="17"/>
      <c r="G780" s="17"/>
      <c r="H780" s="17"/>
      <c r="I780" s="17"/>
    </row>
    <row r="781" spans="1:9" x14ac:dyDescent="0.25">
      <c r="A781" s="17"/>
      <c r="B781" s="17"/>
      <c r="C781" s="30"/>
      <c r="D781" s="17"/>
      <c r="E781" s="17"/>
      <c r="F781" s="17"/>
      <c r="G781" s="17"/>
      <c r="H781" s="17"/>
      <c r="I781" s="17"/>
    </row>
    <row r="782" spans="1:9" x14ac:dyDescent="0.25">
      <c r="A782" s="17"/>
      <c r="B782" s="17"/>
      <c r="C782" s="30"/>
      <c r="D782" s="17"/>
      <c r="E782" s="17"/>
      <c r="F782" s="17"/>
      <c r="G782" s="17"/>
      <c r="H782" s="17"/>
      <c r="I782" s="17"/>
    </row>
    <row r="783" spans="1:9" x14ac:dyDescent="0.25">
      <c r="A783" s="17"/>
      <c r="B783" s="17"/>
      <c r="C783" s="30"/>
      <c r="D783" s="17"/>
      <c r="E783" s="17"/>
      <c r="F783" s="17"/>
      <c r="G783" s="17"/>
      <c r="H783" s="17"/>
      <c r="I783" s="17"/>
    </row>
    <row r="784" spans="1:9" x14ac:dyDescent="0.25">
      <c r="A784" s="17"/>
      <c r="B784" s="17"/>
      <c r="C784" s="30"/>
      <c r="D784" s="17"/>
      <c r="E784" s="17"/>
      <c r="F784" s="17"/>
      <c r="G784" s="17"/>
      <c r="H784" s="17"/>
      <c r="I784" s="17"/>
    </row>
    <row r="785" spans="1:9" x14ac:dyDescent="0.25">
      <c r="A785" s="17"/>
      <c r="B785" s="17"/>
      <c r="C785" s="30"/>
      <c r="D785" s="17"/>
      <c r="E785" s="17"/>
      <c r="F785" s="17"/>
      <c r="G785" s="17"/>
      <c r="H785" s="17"/>
      <c r="I785" s="17"/>
    </row>
    <row r="786" spans="1:9" x14ac:dyDescent="0.25">
      <c r="A786" s="17"/>
      <c r="B786" s="17"/>
      <c r="C786" s="30"/>
      <c r="D786" s="17"/>
      <c r="E786" s="17"/>
      <c r="F786" s="17"/>
      <c r="G786" s="17"/>
      <c r="H786" s="17"/>
      <c r="I786" s="17"/>
    </row>
    <row r="787" spans="1:9" x14ac:dyDescent="0.25">
      <c r="A787" s="17"/>
      <c r="B787" s="17"/>
      <c r="C787" s="30"/>
      <c r="D787" s="17"/>
      <c r="E787" s="17"/>
      <c r="F787" s="17"/>
      <c r="G787" s="17"/>
      <c r="H787" s="17"/>
      <c r="I787" s="17"/>
    </row>
    <row r="788" spans="1:9" x14ac:dyDescent="0.25">
      <c r="A788" s="17"/>
      <c r="B788" s="17"/>
      <c r="C788" s="30"/>
      <c r="D788" s="17"/>
      <c r="E788" s="17"/>
      <c r="F788" s="17"/>
      <c r="G788" s="17"/>
      <c r="H788" s="17"/>
      <c r="I788" s="17"/>
    </row>
    <row r="789" spans="1:9" x14ac:dyDescent="0.25">
      <c r="A789" s="17"/>
      <c r="B789" s="17"/>
      <c r="C789" s="30"/>
      <c r="D789" s="17"/>
      <c r="E789" s="17"/>
      <c r="F789" s="17"/>
      <c r="G789" s="17"/>
      <c r="H789" s="17"/>
      <c r="I789" s="17"/>
    </row>
    <row r="790" spans="1:9" x14ac:dyDescent="0.25">
      <c r="A790" s="17"/>
      <c r="B790" s="17"/>
      <c r="C790" s="30"/>
      <c r="D790" s="17"/>
      <c r="E790" s="17"/>
      <c r="F790" s="17"/>
      <c r="G790" s="17"/>
      <c r="H790" s="17"/>
      <c r="I790" s="17"/>
    </row>
    <row r="791" spans="1:9" x14ac:dyDescent="0.25">
      <c r="A791" s="17"/>
      <c r="B791" s="17"/>
      <c r="C791" s="30"/>
      <c r="D791" s="17"/>
      <c r="E791" s="17"/>
      <c r="F791" s="17"/>
      <c r="G791" s="17"/>
      <c r="H791" s="17"/>
      <c r="I791" s="17"/>
    </row>
    <row r="792" spans="1:9" x14ac:dyDescent="0.25">
      <c r="A792" s="17"/>
      <c r="B792" s="17"/>
      <c r="C792" s="30"/>
      <c r="D792" s="17"/>
      <c r="E792" s="17"/>
      <c r="F792" s="17"/>
      <c r="G792" s="17"/>
      <c r="H792" s="17"/>
      <c r="I792" s="17"/>
    </row>
    <row r="793" spans="1:9" x14ac:dyDescent="0.25">
      <c r="A793" s="17"/>
      <c r="B793" s="17"/>
      <c r="C793" s="30"/>
      <c r="D793" s="17"/>
      <c r="E793" s="17"/>
      <c r="F793" s="17"/>
      <c r="G793" s="17"/>
      <c r="H793" s="17"/>
      <c r="I793" s="17"/>
    </row>
    <row r="794" spans="1:9" x14ac:dyDescent="0.25">
      <c r="A794" s="17"/>
      <c r="B794" s="17"/>
      <c r="C794" s="30"/>
      <c r="D794" s="17"/>
      <c r="E794" s="17"/>
      <c r="F794" s="17"/>
      <c r="G794" s="17"/>
      <c r="H794" s="17"/>
      <c r="I794" s="17"/>
    </row>
    <row r="795" spans="1:9" x14ac:dyDescent="0.25">
      <c r="A795" s="17"/>
      <c r="B795" s="17"/>
      <c r="C795" s="30"/>
      <c r="D795" s="17"/>
      <c r="E795" s="17"/>
      <c r="F795" s="17"/>
      <c r="G795" s="17"/>
      <c r="H795" s="17"/>
      <c r="I795" s="17"/>
    </row>
    <row r="796" spans="1:9" x14ac:dyDescent="0.25">
      <c r="A796" s="17"/>
      <c r="B796" s="17"/>
      <c r="C796" s="30"/>
      <c r="D796" s="17"/>
      <c r="E796" s="17"/>
      <c r="F796" s="17"/>
      <c r="G796" s="17"/>
      <c r="H796" s="17"/>
      <c r="I796" s="17"/>
    </row>
    <row r="797" spans="1:9" x14ac:dyDescent="0.25">
      <c r="A797" s="17"/>
      <c r="B797" s="17"/>
      <c r="C797" s="30"/>
      <c r="D797" s="17"/>
      <c r="E797" s="17"/>
      <c r="F797" s="17"/>
      <c r="G797" s="17"/>
      <c r="H797" s="17"/>
      <c r="I797" s="17"/>
    </row>
    <row r="798" spans="1:9" x14ac:dyDescent="0.25">
      <c r="A798" s="17"/>
      <c r="B798" s="17"/>
      <c r="C798" s="30"/>
      <c r="D798" s="17"/>
      <c r="E798" s="17"/>
      <c r="F798" s="17"/>
      <c r="G798" s="17"/>
      <c r="H798" s="17"/>
      <c r="I798" s="17"/>
    </row>
    <row r="799" spans="1:9" x14ac:dyDescent="0.25">
      <c r="A799" s="17"/>
      <c r="B799" s="17"/>
      <c r="C799" s="30"/>
      <c r="D799" s="17"/>
      <c r="E799" s="17"/>
      <c r="F799" s="17"/>
      <c r="G799" s="17"/>
      <c r="H799" s="17"/>
      <c r="I799" s="17"/>
    </row>
    <row r="800" spans="1:9" x14ac:dyDescent="0.25">
      <c r="A800" s="17"/>
      <c r="B800" s="17"/>
      <c r="C800" s="30"/>
      <c r="D800" s="17"/>
      <c r="E800" s="17"/>
      <c r="F800" s="17"/>
      <c r="G800" s="17"/>
      <c r="H800" s="17"/>
      <c r="I800" s="17"/>
    </row>
    <row r="801" spans="1:9" x14ac:dyDescent="0.25">
      <c r="A801" s="17"/>
      <c r="B801" s="17"/>
      <c r="C801" s="30"/>
      <c r="D801" s="17"/>
      <c r="E801" s="17"/>
      <c r="F801" s="17"/>
      <c r="G801" s="17"/>
      <c r="H801" s="17"/>
      <c r="I801" s="17"/>
    </row>
    <row r="802" spans="1:9" x14ac:dyDescent="0.25">
      <c r="A802" s="17"/>
      <c r="B802" s="17"/>
      <c r="C802" s="30"/>
      <c r="D802" s="17"/>
      <c r="E802" s="17"/>
      <c r="F802" s="17"/>
      <c r="G802" s="17"/>
      <c r="H802" s="17"/>
      <c r="I802" s="17"/>
    </row>
    <row r="803" spans="1:9" x14ac:dyDescent="0.25">
      <c r="A803" s="17"/>
      <c r="B803" s="17"/>
      <c r="C803" s="30"/>
      <c r="D803" s="17"/>
      <c r="E803" s="17"/>
      <c r="F803" s="17"/>
      <c r="G803" s="17"/>
      <c r="H803" s="17"/>
      <c r="I803" s="17"/>
    </row>
    <row r="804" spans="1:9" x14ac:dyDescent="0.25">
      <c r="A804" s="17"/>
      <c r="B804" s="17"/>
      <c r="C804" s="30"/>
      <c r="D804" s="17"/>
      <c r="E804" s="17"/>
      <c r="F804" s="17"/>
      <c r="G804" s="17"/>
      <c r="H804" s="17"/>
      <c r="I804" s="17"/>
    </row>
    <row r="805" spans="1:9" x14ac:dyDescent="0.25">
      <c r="A805" s="17"/>
      <c r="B805" s="17"/>
      <c r="C805" s="30"/>
      <c r="D805" s="17"/>
      <c r="E805" s="17"/>
      <c r="F805" s="17"/>
      <c r="G805" s="17"/>
      <c r="H805" s="17"/>
      <c r="I805" s="17"/>
    </row>
    <row r="806" spans="1:9" x14ac:dyDescent="0.25">
      <c r="A806" s="17"/>
      <c r="B806" s="17"/>
      <c r="C806" s="30"/>
      <c r="D806" s="17"/>
      <c r="E806" s="17"/>
      <c r="F806" s="17"/>
      <c r="G806" s="17"/>
      <c r="H806" s="17"/>
      <c r="I806" s="17"/>
    </row>
    <row r="807" spans="1:9" x14ac:dyDescent="0.25">
      <c r="A807" s="17"/>
      <c r="B807" s="17"/>
      <c r="C807" s="30"/>
      <c r="D807" s="17"/>
      <c r="E807" s="17"/>
      <c r="F807" s="17"/>
      <c r="G807" s="17"/>
      <c r="H807" s="17"/>
      <c r="I807" s="17"/>
    </row>
    <row r="808" spans="1:9" x14ac:dyDescent="0.25">
      <c r="A808" s="17"/>
      <c r="B808" s="17"/>
      <c r="C808" s="30"/>
      <c r="D808" s="17"/>
      <c r="E808" s="17"/>
      <c r="F808" s="17"/>
      <c r="G808" s="17"/>
      <c r="H808" s="17"/>
      <c r="I808" s="17"/>
    </row>
    <row r="809" spans="1:9" x14ac:dyDescent="0.25">
      <c r="A809" s="17"/>
      <c r="B809" s="17"/>
      <c r="C809" s="30"/>
      <c r="D809" s="17"/>
      <c r="E809" s="17"/>
      <c r="F809" s="17"/>
      <c r="G809" s="17"/>
      <c r="H809" s="17"/>
      <c r="I809" s="17"/>
    </row>
    <row r="810" spans="1:9" x14ac:dyDescent="0.25">
      <c r="A810" s="17"/>
      <c r="B810" s="17"/>
      <c r="C810" s="30"/>
      <c r="D810" s="17"/>
      <c r="E810" s="17"/>
      <c r="F810" s="17"/>
      <c r="G810" s="17"/>
      <c r="H810" s="17"/>
      <c r="I810" s="17"/>
    </row>
    <row r="811" spans="1:9" x14ac:dyDescent="0.25">
      <c r="A811" s="17"/>
      <c r="B811" s="17"/>
      <c r="C811" s="30"/>
      <c r="D811" s="17"/>
      <c r="E811" s="17"/>
      <c r="F811" s="17"/>
      <c r="G811" s="17"/>
      <c r="H811" s="17"/>
      <c r="I811" s="17"/>
    </row>
    <row r="812" spans="1:9" x14ac:dyDescent="0.25">
      <c r="A812" s="17"/>
      <c r="B812" s="17"/>
      <c r="C812" s="30"/>
      <c r="D812" s="17"/>
      <c r="E812" s="17"/>
      <c r="F812" s="17"/>
      <c r="G812" s="17"/>
      <c r="H812" s="17"/>
      <c r="I812" s="17"/>
    </row>
    <row r="813" spans="1:9" x14ac:dyDescent="0.25">
      <c r="A813" s="17"/>
      <c r="B813" s="17"/>
      <c r="C813" s="30"/>
      <c r="D813" s="17"/>
      <c r="E813" s="17"/>
      <c r="F813" s="17"/>
      <c r="G813" s="17"/>
      <c r="H813" s="17"/>
      <c r="I813" s="17"/>
    </row>
    <row r="814" spans="1:9" x14ac:dyDescent="0.25">
      <c r="A814" s="17"/>
      <c r="B814" s="17"/>
      <c r="C814" s="30"/>
      <c r="D814" s="17"/>
      <c r="E814" s="17"/>
      <c r="F814" s="17"/>
      <c r="G814" s="17"/>
      <c r="H814" s="17"/>
      <c r="I814" s="17"/>
    </row>
    <row r="815" spans="1:9" x14ac:dyDescent="0.25">
      <c r="A815" s="17"/>
      <c r="B815" s="17"/>
      <c r="C815" s="30"/>
      <c r="D815" s="17"/>
      <c r="E815" s="17"/>
      <c r="F815" s="17"/>
      <c r="G815" s="17"/>
      <c r="H815" s="17"/>
      <c r="I815" s="17"/>
    </row>
    <row r="816" spans="1:9" x14ac:dyDescent="0.25">
      <c r="A816" s="17"/>
      <c r="B816" s="17"/>
      <c r="C816" s="30"/>
      <c r="D816" s="17"/>
      <c r="E816" s="17"/>
      <c r="F816" s="17"/>
      <c r="G816" s="17"/>
      <c r="H816" s="17"/>
      <c r="I816" s="17"/>
    </row>
    <row r="817" spans="1:9" x14ac:dyDescent="0.25">
      <c r="A817" s="17"/>
      <c r="B817" s="17"/>
      <c r="C817" s="30"/>
      <c r="D817" s="17"/>
      <c r="E817" s="17"/>
      <c r="F817" s="17"/>
      <c r="G817" s="17"/>
      <c r="H817" s="17"/>
      <c r="I817" s="17"/>
    </row>
    <row r="818" spans="1:9" x14ac:dyDescent="0.25">
      <c r="A818" s="17"/>
      <c r="B818" s="17"/>
      <c r="C818" s="30"/>
      <c r="D818" s="17"/>
      <c r="E818" s="17"/>
      <c r="F818" s="17"/>
      <c r="G818" s="17"/>
      <c r="H818" s="17"/>
      <c r="I818" s="17"/>
    </row>
    <row r="819" spans="1:9" x14ac:dyDescent="0.25">
      <c r="A819" s="17"/>
      <c r="B819" s="17"/>
      <c r="C819" s="30"/>
      <c r="D819" s="17"/>
      <c r="E819" s="17"/>
      <c r="F819" s="17"/>
      <c r="G819" s="17"/>
      <c r="H819" s="17"/>
      <c r="I819" s="17"/>
    </row>
    <row r="820" spans="1:9" x14ac:dyDescent="0.25">
      <c r="A820" s="17"/>
      <c r="B820" s="17"/>
      <c r="C820" s="30"/>
      <c r="D820" s="17"/>
      <c r="E820" s="17"/>
      <c r="F820" s="17"/>
      <c r="G820" s="17"/>
      <c r="H820" s="17"/>
      <c r="I820" s="17"/>
    </row>
    <row r="821" spans="1:9" x14ac:dyDescent="0.25">
      <c r="A821" s="17"/>
      <c r="B821" s="17"/>
      <c r="C821" s="30"/>
      <c r="D821" s="17"/>
      <c r="E821" s="17"/>
      <c r="F821" s="17"/>
      <c r="G821" s="17"/>
      <c r="H821" s="17"/>
      <c r="I821" s="17"/>
    </row>
    <row r="822" spans="1:9" x14ac:dyDescent="0.25">
      <c r="A822" s="17"/>
      <c r="B822" s="17"/>
      <c r="C822" s="30"/>
      <c r="D822" s="17"/>
      <c r="E822" s="17"/>
      <c r="F822" s="17"/>
      <c r="G822" s="17"/>
      <c r="H822" s="17"/>
      <c r="I822" s="17"/>
    </row>
    <row r="823" spans="1:9" x14ac:dyDescent="0.25">
      <c r="A823" s="17"/>
      <c r="B823" s="17"/>
      <c r="C823" s="30"/>
      <c r="D823" s="17"/>
      <c r="E823" s="17"/>
      <c r="F823" s="17"/>
      <c r="G823" s="17"/>
      <c r="H823" s="17"/>
      <c r="I823" s="17"/>
    </row>
    <row r="824" spans="1:9" x14ac:dyDescent="0.25">
      <c r="A824" s="17"/>
      <c r="B824" s="17"/>
      <c r="C824" s="30"/>
      <c r="D824" s="17"/>
      <c r="E824" s="17"/>
      <c r="F824" s="17"/>
      <c r="G824" s="17"/>
      <c r="H824" s="17"/>
      <c r="I824" s="17"/>
    </row>
    <row r="825" spans="1:9" x14ac:dyDescent="0.25">
      <c r="A825" s="17"/>
      <c r="B825" s="17"/>
      <c r="C825" s="30"/>
      <c r="D825" s="17"/>
      <c r="E825" s="17"/>
      <c r="F825" s="17"/>
      <c r="G825" s="17"/>
      <c r="H825" s="17"/>
      <c r="I825" s="17"/>
    </row>
    <row r="826" spans="1:9" x14ac:dyDescent="0.25">
      <c r="A826" s="17"/>
      <c r="B826" s="17"/>
      <c r="C826" s="30"/>
      <c r="D826" s="17"/>
      <c r="E826" s="17"/>
      <c r="F826" s="17"/>
      <c r="G826" s="17"/>
      <c r="H826" s="17"/>
      <c r="I826" s="17"/>
    </row>
    <row r="827" spans="1:9" x14ac:dyDescent="0.25">
      <c r="A827" s="17"/>
      <c r="B827" s="17"/>
      <c r="C827" s="30"/>
      <c r="D827" s="17"/>
      <c r="E827" s="17"/>
      <c r="F827" s="17"/>
      <c r="G827" s="17"/>
      <c r="H827" s="17"/>
      <c r="I827" s="17"/>
    </row>
    <row r="828" spans="1:9" x14ac:dyDescent="0.25">
      <c r="A828" s="17"/>
      <c r="B828" s="17"/>
      <c r="C828" s="30"/>
      <c r="D828" s="17"/>
      <c r="E828" s="17"/>
      <c r="F828" s="17"/>
      <c r="G828" s="17"/>
      <c r="H828" s="17"/>
      <c r="I828" s="17"/>
    </row>
    <row r="829" spans="1:9" x14ac:dyDescent="0.25">
      <c r="A829" s="17"/>
      <c r="B829" s="17"/>
      <c r="C829" s="30"/>
      <c r="D829" s="17"/>
      <c r="E829" s="17"/>
      <c r="F829" s="17"/>
      <c r="G829" s="17"/>
      <c r="H829" s="17"/>
      <c r="I829" s="17"/>
    </row>
    <row r="830" spans="1:9" x14ac:dyDescent="0.25">
      <c r="A830" s="17"/>
      <c r="B830" s="17"/>
      <c r="C830" s="30"/>
      <c r="D830" s="17"/>
      <c r="E830" s="17"/>
      <c r="F830" s="17"/>
      <c r="G830" s="17"/>
      <c r="H830" s="17"/>
      <c r="I830" s="17"/>
    </row>
    <row r="831" spans="1:9" x14ac:dyDescent="0.25">
      <c r="A831" s="17"/>
      <c r="B831" s="17"/>
      <c r="C831" s="30"/>
      <c r="D831" s="17"/>
      <c r="E831" s="17"/>
      <c r="F831" s="17"/>
      <c r="G831" s="17"/>
      <c r="H831" s="17"/>
      <c r="I831" s="17"/>
    </row>
    <row r="832" spans="1:9" x14ac:dyDescent="0.25">
      <c r="A832" s="17"/>
      <c r="B832" s="17"/>
      <c r="C832" s="30"/>
      <c r="D832" s="17"/>
      <c r="E832" s="17"/>
      <c r="F832" s="17"/>
      <c r="G832" s="17"/>
      <c r="H832" s="17"/>
      <c r="I832" s="17"/>
    </row>
    <row r="833" spans="1:9" x14ac:dyDescent="0.25">
      <c r="A833" s="17"/>
      <c r="B833" s="17"/>
      <c r="C833" s="30"/>
      <c r="D833" s="17"/>
      <c r="E833" s="17"/>
      <c r="F833" s="17"/>
      <c r="G833" s="17"/>
      <c r="H833" s="17"/>
      <c r="I833" s="17"/>
    </row>
    <row r="834" spans="1:9" x14ac:dyDescent="0.25">
      <c r="A834" s="17"/>
      <c r="B834" s="17"/>
      <c r="C834" s="30"/>
      <c r="D834" s="17"/>
      <c r="E834" s="17"/>
      <c r="F834" s="17"/>
      <c r="G834" s="17"/>
      <c r="H834" s="17"/>
      <c r="I834" s="17"/>
    </row>
    <row r="835" spans="1:9" x14ac:dyDescent="0.25">
      <c r="A835" s="17"/>
      <c r="B835" s="17"/>
      <c r="C835" s="30"/>
      <c r="D835" s="17"/>
      <c r="E835" s="17"/>
      <c r="F835" s="17"/>
      <c r="G835" s="17"/>
      <c r="H835" s="17"/>
      <c r="I835" s="17"/>
    </row>
    <row r="836" spans="1:9" x14ac:dyDescent="0.25">
      <c r="A836" s="17"/>
      <c r="B836" s="17"/>
      <c r="C836" s="30"/>
      <c r="D836" s="17"/>
      <c r="E836" s="17"/>
      <c r="F836" s="17"/>
      <c r="G836" s="17"/>
      <c r="H836" s="17"/>
      <c r="I836" s="17"/>
    </row>
    <row r="837" spans="1:9" x14ac:dyDescent="0.25">
      <c r="A837" s="17"/>
      <c r="B837" s="17"/>
      <c r="C837" s="30"/>
      <c r="D837" s="17"/>
      <c r="E837" s="17"/>
      <c r="F837" s="17"/>
      <c r="G837" s="17"/>
      <c r="H837" s="17"/>
      <c r="I837" s="17"/>
    </row>
    <row r="838" spans="1:9" x14ac:dyDescent="0.25">
      <c r="A838" s="17"/>
      <c r="B838" s="17"/>
      <c r="C838" s="30"/>
      <c r="D838" s="17"/>
      <c r="E838" s="17"/>
      <c r="F838" s="17"/>
      <c r="G838" s="17"/>
      <c r="H838" s="17"/>
      <c r="I838" s="17"/>
    </row>
    <row r="839" spans="1:9" x14ac:dyDescent="0.25">
      <c r="A839" s="17"/>
      <c r="B839" s="17"/>
      <c r="C839" s="30"/>
      <c r="D839" s="17"/>
      <c r="E839" s="17"/>
      <c r="F839" s="17"/>
      <c r="G839" s="17"/>
      <c r="H839" s="17"/>
      <c r="I839" s="17"/>
    </row>
    <row r="840" spans="1:9" x14ac:dyDescent="0.25">
      <c r="A840" s="17"/>
      <c r="B840" s="17"/>
      <c r="C840" s="30"/>
      <c r="D840" s="17"/>
      <c r="E840" s="17"/>
      <c r="F840" s="17"/>
      <c r="G840" s="17"/>
      <c r="H840" s="17"/>
      <c r="I840" s="17"/>
    </row>
    <row r="841" spans="1:9" x14ac:dyDescent="0.25">
      <c r="A841" s="17"/>
      <c r="B841" s="17"/>
      <c r="C841" s="30"/>
      <c r="D841" s="17"/>
      <c r="E841" s="17"/>
      <c r="F841" s="17"/>
      <c r="G841" s="17"/>
      <c r="H841" s="17"/>
      <c r="I841" s="17"/>
    </row>
    <row r="842" spans="1:9" x14ac:dyDescent="0.25">
      <c r="A842" s="17"/>
      <c r="B842" s="17"/>
      <c r="C842" s="30"/>
      <c r="D842" s="17"/>
      <c r="E842" s="17"/>
      <c r="F842" s="17"/>
      <c r="G842" s="17"/>
      <c r="H842" s="17"/>
      <c r="I842" s="17"/>
    </row>
    <row r="843" spans="1:9" x14ac:dyDescent="0.25">
      <c r="A843" s="17"/>
      <c r="B843" s="17"/>
      <c r="C843" s="30"/>
      <c r="D843" s="17"/>
      <c r="E843" s="17"/>
      <c r="F843" s="17"/>
      <c r="G843" s="17"/>
      <c r="H843" s="17"/>
      <c r="I843" s="17"/>
    </row>
    <row r="844" spans="1:9" x14ac:dyDescent="0.25">
      <c r="A844" s="17"/>
      <c r="B844" s="17"/>
      <c r="C844" s="30"/>
      <c r="D844" s="17"/>
      <c r="E844" s="17"/>
      <c r="F844" s="17"/>
      <c r="G844" s="17"/>
      <c r="H844" s="17"/>
      <c r="I844" s="17"/>
    </row>
    <row r="845" spans="1:9" x14ac:dyDescent="0.25">
      <c r="A845" s="17"/>
      <c r="B845" s="17"/>
      <c r="C845" s="30"/>
      <c r="D845" s="17"/>
      <c r="E845" s="17"/>
      <c r="F845" s="17"/>
      <c r="G845" s="17"/>
      <c r="H845" s="17"/>
      <c r="I845" s="17"/>
    </row>
    <row r="846" spans="1:9" x14ac:dyDescent="0.25">
      <c r="A846" s="17"/>
      <c r="B846" s="17"/>
      <c r="C846" s="30"/>
      <c r="D846" s="17"/>
      <c r="E846" s="17"/>
      <c r="F846" s="17"/>
      <c r="G846" s="17"/>
      <c r="H846" s="17"/>
      <c r="I846" s="17"/>
    </row>
    <row r="847" spans="1:9" x14ac:dyDescent="0.25">
      <c r="A847" s="17"/>
      <c r="B847" s="17"/>
      <c r="C847" s="30"/>
      <c r="D847" s="17"/>
      <c r="E847" s="17"/>
      <c r="F847" s="17"/>
      <c r="G847" s="17"/>
      <c r="H847" s="17"/>
      <c r="I847" s="17"/>
    </row>
    <row r="848" spans="1:9" x14ac:dyDescent="0.25">
      <c r="A848" s="17"/>
      <c r="B848" s="17"/>
      <c r="C848" s="30"/>
      <c r="D848" s="17"/>
      <c r="E848" s="17"/>
      <c r="F848" s="17"/>
      <c r="G848" s="17"/>
      <c r="H848" s="17"/>
      <c r="I848" s="17"/>
    </row>
    <row r="849" spans="1:9" x14ac:dyDescent="0.25">
      <c r="A849" s="17"/>
      <c r="B849" s="17"/>
      <c r="C849" s="30"/>
      <c r="D849" s="17"/>
      <c r="E849" s="17"/>
      <c r="F849" s="17"/>
      <c r="G849" s="17"/>
      <c r="H849" s="17"/>
      <c r="I849" s="17"/>
    </row>
    <row r="850" spans="1:9" x14ac:dyDescent="0.25">
      <c r="A850" s="17"/>
      <c r="B850" s="17"/>
      <c r="C850" s="30"/>
      <c r="D850" s="17"/>
      <c r="E850" s="17"/>
      <c r="F850" s="17"/>
      <c r="G850" s="17"/>
      <c r="H850" s="17"/>
      <c r="I850" s="17"/>
    </row>
    <row r="851" spans="1:9" x14ac:dyDescent="0.25">
      <c r="A851" s="17"/>
      <c r="B851" s="17"/>
      <c r="C851" s="30"/>
      <c r="D851" s="17"/>
      <c r="E851" s="17"/>
      <c r="F851" s="17"/>
      <c r="G851" s="17"/>
      <c r="H851" s="17"/>
      <c r="I851" s="17"/>
    </row>
    <row r="852" spans="1:9" x14ac:dyDescent="0.25">
      <c r="A852" s="17"/>
      <c r="B852" s="17"/>
      <c r="C852" s="30"/>
      <c r="D852" s="17"/>
      <c r="E852" s="17"/>
      <c r="F852" s="17"/>
      <c r="G852" s="17"/>
      <c r="H852" s="17"/>
      <c r="I852" s="17"/>
    </row>
    <row r="853" spans="1:9" x14ac:dyDescent="0.25">
      <c r="A853" s="17"/>
      <c r="B853" s="17"/>
      <c r="C853" s="30"/>
      <c r="D853" s="17"/>
      <c r="E853" s="17"/>
      <c r="F853" s="17"/>
      <c r="G853" s="17"/>
      <c r="H853" s="17"/>
      <c r="I853" s="17"/>
    </row>
    <row r="854" spans="1:9" x14ac:dyDescent="0.25">
      <c r="A854" s="17"/>
      <c r="B854" s="17"/>
      <c r="C854" s="30"/>
      <c r="D854" s="17"/>
      <c r="E854" s="17"/>
      <c r="F854" s="17"/>
      <c r="G854" s="17"/>
      <c r="H854" s="17"/>
      <c r="I854" s="17"/>
    </row>
    <row r="855" spans="1:9" x14ac:dyDescent="0.25">
      <c r="A855" s="17"/>
      <c r="B855" s="17"/>
      <c r="C855" s="30"/>
      <c r="D855" s="17"/>
      <c r="E855" s="17"/>
      <c r="F855" s="17"/>
      <c r="G855" s="17"/>
      <c r="H855" s="17"/>
      <c r="I855" s="17"/>
    </row>
    <row r="856" spans="1:9" x14ac:dyDescent="0.25">
      <c r="A856" s="17"/>
      <c r="B856" s="17"/>
      <c r="C856" s="30"/>
      <c r="D856" s="17"/>
      <c r="E856" s="17"/>
      <c r="F856" s="17"/>
      <c r="G856" s="17"/>
      <c r="H856" s="17"/>
      <c r="I856" s="17"/>
    </row>
    <row r="857" spans="1:9" x14ac:dyDescent="0.25">
      <c r="A857" s="17"/>
      <c r="B857" s="17"/>
      <c r="C857" s="30"/>
      <c r="D857" s="17"/>
      <c r="E857" s="17"/>
      <c r="F857" s="17"/>
      <c r="G857" s="17"/>
      <c r="H857" s="17"/>
      <c r="I857" s="17"/>
    </row>
    <row r="858" spans="1:9" x14ac:dyDescent="0.25">
      <c r="A858" s="17"/>
      <c r="B858" s="17"/>
      <c r="C858" s="30"/>
      <c r="D858" s="17"/>
      <c r="E858" s="17"/>
      <c r="F858" s="17"/>
      <c r="G858" s="17"/>
      <c r="H858" s="17"/>
      <c r="I858" s="17"/>
    </row>
    <row r="859" spans="1:9" x14ac:dyDescent="0.25">
      <c r="A859" s="17"/>
      <c r="B859" s="17"/>
      <c r="C859" s="30"/>
      <c r="D859" s="17"/>
      <c r="E859" s="17"/>
      <c r="F859" s="17"/>
      <c r="G859" s="17"/>
      <c r="H859" s="17"/>
      <c r="I859" s="17"/>
    </row>
    <row r="860" spans="1:9" x14ac:dyDescent="0.25">
      <c r="A860" s="17"/>
      <c r="B860" s="17"/>
      <c r="C860" s="30"/>
      <c r="D860" s="17"/>
      <c r="E860" s="17"/>
      <c r="F860" s="17"/>
      <c r="G860" s="17"/>
      <c r="H860" s="17"/>
      <c r="I860" s="17"/>
    </row>
    <row r="861" spans="1:9" x14ac:dyDescent="0.25">
      <c r="A861" s="17"/>
      <c r="B861" s="17"/>
      <c r="C861" s="30"/>
      <c r="D861" s="17"/>
      <c r="E861" s="17"/>
      <c r="F861" s="17"/>
      <c r="G861" s="17"/>
      <c r="H861" s="17"/>
      <c r="I861" s="17"/>
    </row>
    <row r="862" spans="1:9" x14ac:dyDescent="0.25">
      <c r="A862" s="17"/>
      <c r="B862" s="17"/>
      <c r="C862" s="30"/>
      <c r="D862" s="17"/>
      <c r="E862" s="17"/>
      <c r="F862" s="17"/>
      <c r="G862" s="17"/>
      <c r="H862" s="17"/>
      <c r="I862" s="17"/>
    </row>
    <row r="863" spans="1:9" x14ac:dyDescent="0.25">
      <c r="A863" s="17"/>
      <c r="B863" s="17"/>
      <c r="C863" s="30"/>
      <c r="D863" s="17"/>
      <c r="E863" s="17"/>
      <c r="F863" s="17"/>
      <c r="G863" s="17"/>
      <c r="H863" s="17"/>
      <c r="I863" s="17"/>
    </row>
    <row r="864" spans="1:9" x14ac:dyDescent="0.25">
      <c r="A864" s="17"/>
      <c r="B864" s="17"/>
      <c r="C864" s="30"/>
      <c r="D864" s="17"/>
      <c r="E864" s="17"/>
      <c r="F864" s="17"/>
      <c r="G864" s="17"/>
      <c r="H864" s="17"/>
      <c r="I864" s="17"/>
    </row>
    <row r="865" spans="1:9" x14ac:dyDescent="0.25">
      <c r="A865" s="17"/>
      <c r="B865" s="17"/>
      <c r="C865" s="30"/>
      <c r="D865" s="17"/>
      <c r="E865" s="17"/>
      <c r="F865" s="17"/>
      <c r="G865" s="17"/>
      <c r="H865" s="17"/>
      <c r="I865" s="17"/>
    </row>
    <row r="866" spans="1:9" x14ac:dyDescent="0.25">
      <c r="A866" s="17"/>
      <c r="B866" s="17"/>
      <c r="C866" s="30"/>
      <c r="D866" s="17"/>
      <c r="E866" s="17"/>
      <c r="F866" s="17"/>
      <c r="G866" s="17"/>
      <c r="H866" s="17"/>
      <c r="I866" s="17"/>
    </row>
    <row r="867" spans="1:9" x14ac:dyDescent="0.25">
      <c r="A867" s="17"/>
      <c r="B867" s="17"/>
      <c r="C867" s="30"/>
      <c r="D867" s="17"/>
      <c r="E867" s="17"/>
      <c r="F867" s="17"/>
      <c r="G867" s="17"/>
      <c r="H867" s="17"/>
      <c r="I867" s="17"/>
    </row>
    <row r="868" spans="1:9" x14ac:dyDescent="0.25">
      <c r="A868" s="17"/>
      <c r="B868" s="17"/>
      <c r="C868" s="30"/>
      <c r="D868" s="17"/>
      <c r="E868" s="17"/>
      <c r="F868" s="17"/>
      <c r="G868" s="17"/>
      <c r="H868" s="17"/>
      <c r="I868" s="17"/>
    </row>
    <row r="869" spans="1:9" x14ac:dyDescent="0.25">
      <c r="A869" s="17"/>
      <c r="B869" s="17"/>
      <c r="C869" s="30"/>
      <c r="D869" s="17"/>
      <c r="E869" s="17"/>
      <c r="F869" s="17"/>
      <c r="G869" s="17"/>
      <c r="H869" s="17"/>
      <c r="I869" s="17"/>
    </row>
    <row r="870" spans="1:9" x14ac:dyDescent="0.25">
      <c r="A870" s="17"/>
      <c r="B870" s="17"/>
      <c r="C870" s="30"/>
      <c r="D870" s="17"/>
      <c r="E870" s="17"/>
      <c r="F870" s="17"/>
      <c r="G870" s="17"/>
      <c r="H870" s="17"/>
      <c r="I870" s="17"/>
    </row>
    <row r="871" spans="1:9" x14ac:dyDescent="0.25">
      <c r="A871" s="17"/>
      <c r="B871" s="17"/>
      <c r="C871" s="30"/>
      <c r="D871" s="17"/>
      <c r="E871" s="17"/>
      <c r="F871" s="17"/>
      <c r="G871" s="17"/>
      <c r="H871" s="17"/>
      <c r="I871" s="17"/>
    </row>
    <row r="872" spans="1:9" x14ac:dyDescent="0.25">
      <c r="A872" s="17"/>
      <c r="B872" s="17"/>
      <c r="C872" s="30"/>
      <c r="D872" s="17"/>
      <c r="E872" s="17"/>
      <c r="F872" s="17"/>
      <c r="G872" s="17"/>
      <c r="H872" s="17"/>
      <c r="I872" s="17"/>
    </row>
    <row r="873" spans="1:9" x14ac:dyDescent="0.25">
      <c r="A873" s="17"/>
      <c r="B873" s="17"/>
      <c r="C873" s="30"/>
      <c r="D873" s="17"/>
      <c r="E873" s="17"/>
      <c r="F873" s="17"/>
      <c r="G873" s="17"/>
      <c r="H873" s="17"/>
      <c r="I873" s="17"/>
    </row>
    <row r="874" spans="1:9" x14ac:dyDescent="0.25">
      <c r="A874" s="17"/>
      <c r="B874" s="17"/>
      <c r="C874" s="30"/>
      <c r="D874" s="17"/>
      <c r="E874" s="17"/>
      <c r="F874" s="17"/>
      <c r="G874" s="17"/>
      <c r="H874" s="17"/>
      <c r="I874" s="17"/>
    </row>
    <row r="875" spans="1:9" x14ac:dyDescent="0.25">
      <c r="A875" s="17"/>
      <c r="B875" s="17"/>
      <c r="C875" s="30"/>
      <c r="D875" s="17"/>
      <c r="E875" s="17"/>
      <c r="F875" s="17"/>
      <c r="G875" s="17"/>
      <c r="H875" s="17"/>
      <c r="I875" s="17"/>
    </row>
    <row r="876" spans="1:9" x14ac:dyDescent="0.25">
      <c r="A876" s="17"/>
      <c r="B876" s="17"/>
      <c r="C876" s="30"/>
      <c r="D876" s="17"/>
      <c r="E876" s="17"/>
      <c r="F876" s="17"/>
      <c r="G876" s="17"/>
      <c r="H876" s="17"/>
      <c r="I876" s="17"/>
    </row>
    <row r="877" spans="1:9" x14ac:dyDescent="0.25">
      <c r="A877" s="17"/>
      <c r="B877" s="17"/>
      <c r="C877" s="30"/>
      <c r="D877" s="17"/>
      <c r="E877" s="17"/>
      <c r="F877" s="17"/>
      <c r="G877" s="17"/>
      <c r="H877" s="17"/>
      <c r="I877" s="17"/>
    </row>
    <row r="878" spans="1:9" x14ac:dyDescent="0.25">
      <c r="A878" s="17"/>
      <c r="B878" s="17"/>
      <c r="C878" s="30"/>
      <c r="D878" s="17"/>
      <c r="E878" s="17"/>
      <c r="F878" s="17"/>
      <c r="G878" s="17"/>
      <c r="H878" s="17"/>
      <c r="I878" s="17"/>
    </row>
    <row r="879" spans="1:9" x14ac:dyDescent="0.25">
      <c r="A879" s="17"/>
      <c r="B879" s="17"/>
      <c r="C879" s="30"/>
      <c r="D879" s="17"/>
      <c r="E879" s="17"/>
      <c r="F879" s="17"/>
      <c r="G879" s="17"/>
      <c r="H879" s="17"/>
      <c r="I879" s="17"/>
    </row>
    <row r="880" spans="1:9" x14ac:dyDescent="0.25">
      <c r="A880" s="17"/>
      <c r="B880" s="17"/>
      <c r="C880" s="30"/>
      <c r="D880" s="17"/>
      <c r="E880" s="17"/>
      <c r="F880" s="17"/>
      <c r="G880" s="17"/>
      <c r="H880" s="17"/>
      <c r="I880" s="17"/>
    </row>
    <row r="881" spans="1:9" x14ac:dyDescent="0.25">
      <c r="A881" s="17"/>
      <c r="B881" s="17"/>
      <c r="C881" s="30"/>
      <c r="D881" s="17"/>
      <c r="E881" s="17"/>
      <c r="F881" s="17"/>
      <c r="G881" s="17"/>
      <c r="H881" s="17"/>
      <c r="I881" s="17"/>
    </row>
    <row r="882" spans="1:9" x14ac:dyDescent="0.25">
      <c r="A882" s="17"/>
      <c r="B882" s="17"/>
      <c r="C882" s="30"/>
      <c r="D882" s="17"/>
      <c r="E882" s="17"/>
      <c r="F882" s="17"/>
      <c r="G882" s="17"/>
      <c r="H882" s="17"/>
      <c r="I882" s="17"/>
    </row>
    <row r="883" spans="1:9" x14ac:dyDescent="0.25">
      <c r="A883" s="17"/>
      <c r="B883" s="17"/>
      <c r="C883" s="30"/>
      <c r="D883" s="17"/>
      <c r="E883" s="17"/>
      <c r="F883" s="17"/>
      <c r="G883" s="17"/>
      <c r="H883" s="17"/>
      <c r="I883" s="17"/>
    </row>
    <row r="884" spans="1:9" x14ac:dyDescent="0.25">
      <c r="A884" s="17"/>
      <c r="B884" s="17"/>
      <c r="C884" s="30"/>
      <c r="D884" s="17"/>
      <c r="E884" s="17"/>
      <c r="F884" s="17"/>
      <c r="G884" s="17"/>
      <c r="H884" s="17"/>
      <c r="I884" s="17"/>
    </row>
    <row r="885" spans="1:9" x14ac:dyDescent="0.25">
      <c r="A885" s="17"/>
      <c r="B885" s="17"/>
      <c r="C885" s="30"/>
      <c r="D885" s="17"/>
      <c r="E885" s="17"/>
      <c r="F885" s="17"/>
      <c r="G885" s="17"/>
      <c r="H885" s="17"/>
      <c r="I885" s="17"/>
    </row>
    <row r="886" spans="1:9" x14ac:dyDescent="0.25">
      <c r="A886" s="17"/>
      <c r="B886" s="17"/>
      <c r="C886" s="30"/>
      <c r="D886" s="17"/>
      <c r="E886" s="17"/>
      <c r="F886" s="17"/>
      <c r="G886" s="17"/>
      <c r="H886" s="17"/>
      <c r="I886" s="17"/>
    </row>
    <row r="887" spans="1:9" x14ac:dyDescent="0.25">
      <c r="A887" s="17"/>
      <c r="B887" s="17"/>
      <c r="C887" s="30"/>
      <c r="D887" s="17"/>
      <c r="E887" s="17"/>
      <c r="F887" s="17"/>
      <c r="G887" s="17"/>
      <c r="H887" s="17"/>
      <c r="I887" s="17"/>
    </row>
    <row r="888" spans="1:9" x14ac:dyDescent="0.25">
      <c r="A888" s="17"/>
      <c r="B888" s="17"/>
      <c r="C888" s="30"/>
      <c r="D888" s="17"/>
      <c r="E888" s="17"/>
      <c r="F888" s="17"/>
      <c r="G888" s="17"/>
      <c r="H888" s="17"/>
      <c r="I888" s="17"/>
    </row>
    <row r="889" spans="1:9" x14ac:dyDescent="0.25">
      <c r="A889" s="17"/>
      <c r="B889" s="17"/>
      <c r="C889" s="30"/>
      <c r="D889" s="17"/>
      <c r="E889" s="17"/>
      <c r="F889" s="17"/>
      <c r="G889" s="17"/>
      <c r="H889" s="17"/>
      <c r="I889" s="17"/>
    </row>
    <row r="890" spans="1:9" x14ac:dyDescent="0.25">
      <c r="A890" s="17"/>
      <c r="B890" s="17"/>
      <c r="C890" s="30"/>
      <c r="D890" s="17"/>
      <c r="E890" s="17"/>
      <c r="F890" s="17"/>
      <c r="G890" s="17"/>
      <c r="H890" s="17"/>
      <c r="I890" s="17"/>
    </row>
    <row r="891" spans="1:9" x14ac:dyDescent="0.25">
      <c r="A891" s="17"/>
      <c r="B891" s="17"/>
      <c r="C891" s="30"/>
      <c r="D891" s="17"/>
      <c r="E891" s="17"/>
      <c r="F891" s="17"/>
      <c r="G891" s="17"/>
      <c r="H891" s="17"/>
      <c r="I891" s="17"/>
    </row>
    <row r="892" spans="1:9" x14ac:dyDescent="0.25">
      <c r="A892" s="17"/>
      <c r="B892" s="17"/>
      <c r="C892" s="30"/>
      <c r="D892" s="17"/>
      <c r="E892" s="17"/>
      <c r="F892" s="17"/>
      <c r="G892" s="17"/>
      <c r="H892" s="17"/>
      <c r="I892" s="17"/>
    </row>
    <row r="893" spans="1:9" x14ac:dyDescent="0.25">
      <c r="A893" s="17"/>
      <c r="B893" s="17"/>
      <c r="C893" s="30"/>
      <c r="D893" s="17"/>
      <c r="E893" s="17"/>
      <c r="F893" s="17"/>
      <c r="G893" s="17"/>
      <c r="H893" s="17"/>
      <c r="I893" s="17"/>
    </row>
    <row r="894" spans="1:9" x14ac:dyDescent="0.25">
      <c r="A894" s="17"/>
      <c r="B894" s="17"/>
      <c r="C894" s="30"/>
      <c r="D894" s="17"/>
      <c r="E894" s="17"/>
      <c r="F894" s="17"/>
      <c r="G894" s="17"/>
      <c r="H894" s="17"/>
      <c r="I894" s="17"/>
    </row>
    <row r="895" spans="1:9" x14ac:dyDescent="0.25">
      <c r="A895" s="17"/>
      <c r="B895" s="17"/>
      <c r="C895" s="30"/>
      <c r="D895" s="17"/>
      <c r="E895" s="17"/>
      <c r="F895" s="17"/>
      <c r="G895" s="17"/>
      <c r="H895" s="17"/>
      <c r="I895" s="17"/>
    </row>
    <row r="896" spans="1:9" x14ac:dyDescent="0.25">
      <c r="A896" s="17"/>
      <c r="B896" s="17"/>
      <c r="C896" s="30"/>
      <c r="D896" s="17"/>
      <c r="E896" s="17"/>
      <c r="F896" s="17"/>
      <c r="G896" s="17"/>
      <c r="H896" s="17"/>
      <c r="I896" s="17"/>
    </row>
    <row r="897" spans="1:9" x14ac:dyDescent="0.25">
      <c r="A897" s="17"/>
      <c r="B897" s="17"/>
      <c r="C897" s="30"/>
      <c r="D897" s="17"/>
      <c r="E897" s="17"/>
      <c r="F897" s="17"/>
      <c r="G897" s="17"/>
      <c r="H897" s="17"/>
      <c r="I897" s="17"/>
    </row>
    <row r="898" spans="1:9" x14ac:dyDescent="0.25">
      <c r="A898" s="17"/>
      <c r="B898" s="17"/>
      <c r="C898" s="30"/>
      <c r="D898" s="17"/>
      <c r="E898" s="17"/>
      <c r="F898" s="17"/>
      <c r="G898" s="17"/>
      <c r="H898" s="17"/>
      <c r="I898" s="17"/>
    </row>
    <row r="899" spans="1:9" x14ac:dyDescent="0.25">
      <c r="A899" s="17"/>
      <c r="B899" s="17"/>
      <c r="C899" s="30"/>
      <c r="D899" s="17"/>
      <c r="E899" s="17"/>
      <c r="F899" s="17"/>
      <c r="G899" s="17"/>
      <c r="H899" s="17"/>
      <c r="I899" s="17"/>
    </row>
    <row r="900" spans="1:9" x14ac:dyDescent="0.25">
      <c r="A900" s="17"/>
      <c r="B900" s="17"/>
      <c r="C900" s="30"/>
      <c r="D900" s="17"/>
      <c r="E900" s="17"/>
      <c r="F900" s="17"/>
      <c r="G900" s="17"/>
      <c r="H900" s="17"/>
      <c r="I900" s="17"/>
    </row>
    <row r="901" spans="1:9" x14ac:dyDescent="0.25">
      <c r="A901" s="17"/>
      <c r="B901" s="17"/>
      <c r="C901" s="30"/>
      <c r="D901" s="17"/>
      <c r="E901" s="17"/>
      <c r="F901" s="17"/>
      <c r="G901" s="17"/>
      <c r="H901" s="17"/>
      <c r="I901" s="17"/>
    </row>
    <row r="902" spans="1:9" x14ac:dyDescent="0.25">
      <c r="A902" s="17"/>
      <c r="B902" s="17"/>
      <c r="C902" s="30"/>
      <c r="D902" s="17"/>
      <c r="E902" s="17"/>
      <c r="F902" s="17"/>
      <c r="G902" s="17"/>
      <c r="H902" s="17"/>
      <c r="I902" s="17"/>
    </row>
    <row r="903" spans="1:9" x14ac:dyDescent="0.25">
      <c r="A903" s="17"/>
      <c r="B903" s="17"/>
      <c r="C903" s="30"/>
      <c r="D903" s="17"/>
      <c r="E903" s="17"/>
      <c r="F903" s="17"/>
      <c r="G903" s="17"/>
      <c r="H903" s="17"/>
      <c r="I903" s="17"/>
    </row>
    <row r="904" spans="1:9" x14ac:dyDescent="0.25">
      <c r="A904" s="17"/>
      <c r="B904" s="17"/>
      <c r="C904" s="30"/>
      <c r="D904" s="17"/>
      <c r="E904" s="17"/>
      <c r="F904" s="17"/>
      <c r="G904" s="17"/>
      <c r="H904" s="17"/>
      <c r="I904" s="17"/>
    </row>
    <row r="905" spans="1:9" x14ac:dyDescent="0.25">
      <c r="A905" s="17"/>
      <c r="B905" s="17"/>
      <c r="C905" s="30"/>
      <c r="D905" s="17"/>
      <c r="E905" s="17"/>
      <c r="F905" s="17"/>
      <c r="G905" s="17"/>
      <c r="H905" s="17"/>
      <c r="I905" s="17"/>
    </row>
    <row r="906" spans="1:9" x14ac:dyDescent="0.25">
      <c r="A906" s="17"/>
      <c r="B906" s="17"/>
      <c r="C906" s="30"/>
      <c r="D906" s="17"/>
      <c r="E906" s="17"/>
      <c r="F906" s="17"/>
      <c r="G906" s="17"/>
      <c r="H906" s="17"/>
      <c r="I906" s="17"/>
    </row>
    <row r="907" spans="1:9" x14ac:dyDescent="0.25">
      <c r="A907" s="17"/>
      <c r="B907" s="17"/>
      <c r="C907" s="30"/>
      <c r="D907" s="17"/>
      <c r="E907" s="17"/>
      <c r="F907" s="17"/>
      <c r="G907" s="17"/>
      <c r="H907" s="17"/>
      <c r="I907" s="17"/>
    </row>
    <row r="908" spans="1:9" x14ac:dyDescent="0.25">
      <c r="A908" s="17"/>
      <c r="B908" s="17"/>
      <c r="C908" s="30"/>
      <c r="D908" s="17"/>
      <c r="E908" s="17"/>
      <c r="F908" s="17"/>
      <c r="G908" s="17"/>
      <c r="H908" s="17"/>
      <c r="I908" s="17"/>
    </row>
    <row r="909" spans="1:9" x14ac:dyDescent="0.25">
      <c r="A909" s="17"/>
      <c r="B909" s="17"/>
      <c r="C909" s="30"/>
      <c r="D909" s="17"/>
      <c r="E909" s="17"/>
      <c r="F909" s="17"/>
      <c r="G909" s="17"/>
      <c r="H909" s="17"/>
      <c r="I909" s="17"/>
    </row>
    <row r="910" spans="1:9" x14ac:dyDescent="0.25">
      <c r="A910" s="17"/>
      <c r="B910" s="17"/>
      <c r="C910" s="30"/>
      <c r="D910" s="17"/>
      <c r="E910" s="17"/>
      <c r="F910" s="17"/>
      <c r="G910" s="17"/>
      <c r="H910" s="17"/>
      <c r="I910" s="17"/>
    </row>
    <row r="911" spans="1:9" x14ac:dyDescent="0.25">
      <c r="A911" s="17"/>
      <c r="B911" s="17"/>
      <c r="C911" s="30"/>
      <c r="D911" s="17"/>
      <c r="E911" s="17"/>
      <c r="F911" s="17"/>
      <c r="G911" s="17"/>
      <c r="H911" s="17"/>
      <c r="I911" s="17"/>
    </row>
    <row r="912" spans="1:9" x14ac:dyDescent="0.25">
      <c r="A912" s="17"/>
      <c r="B912" s="17"/>
      <c r="C912" s="30"/>
      <c r="D912" s="17"/>
      <c r="E912" s="17"/>
      <c r="F912" s="17"/>
      <c r="G912" s="17"/>
      <c r="H912" s="17"/>
      <c r="I912" s="17"/>
    </row>
    <row r="913" spans="1:9" x14ac:dyDescent="0.25">
      <c r="A913" s="17"/>
      <c r="B913" s="17"/>
      <c r="C913" s="30"/>
      <c r="D913" s="17"/>
      <c r="E913" s="17"/>
      <c r="F913" s="17"/>
      <c r="G913" s="17"/>
      <c r="H913" s="17"/>
      <c r="I913" s="17"/>
    </row>
    <row r="914" spans="1:9" x14ac:dyDescent="0.25">
      <c r="A914" s="17"/>
      <c r="B914" s="17"/>
      <c r="C914" s="30"/>
      <c r="D914" s="17"/>
      <c r="E914" s="17"/>
      <c r="F914" s="17"/>
      <c r="G914" s="17"/>
      <c r="H914" s="17"/>
      <c r="I914" s="17"/>
    </row>
    <row r="915" spans="1:9" x14ac:dyDescent="0.25">
      <c r="A915" s="17"/>
      <c r="B915" s="17"/>
      <c r="C915" s="30"/>
      <c r="D915" s="17"/>
      <c r="E915" s="17"/>
      <c r="F915" s="17"/>
      <c r="G915" s="17"/>
      <c r="H915" s="17"/>
      <c r="I915" s="17"/>
    </row>
    <row r="916" spans="1:9" x14ac:dyDescent="0.25">
      <c r="A916" s="17"/>
      <c r="B916" s="17"/>
      <c r="C916" s="30"/>
      <c r="D916" s="17"/>
      <c r="E916" s="17"/>
      <c r="F916" s="17"/>
      <c r="G916" s="17"/>
      <c r="H916" s="17"/>
      <c r="I916" s="17"/>
    </row>
    <row r="917" spans="1:9" x14ac:dyDescent="0.25">
      <c r="A917" s="17"/>
      <c r="B917" s="17"/>
      <c r="C917" s="30"/>
      <c r="D917" s="17"/>
      <c r="E917" s="17"/>
      <c r="F917" s="17"/>
      <c r="G917" s="17"/>
      <c r="H917" s="17"/>
      <c r="I917" s="17"/>
    </row>
    <row r="918" spans="1:9" x14ac:dyDescent="0.25">
      <c r="A918" s="17"/>
      <c r="B918" s="17"/>
      <c r="C918" s="30"/>
      <c r="D918" s="17"/>
      <c r="E918" s="17"/>
      <c r="F918" s="17"/>
      <c r="G918" s="17"/>
      <c r="H918" s="17"/>
      <c r="I918" s="17"/>
    </row>
    <row r="919" spans="1:9" x14ac:dyDescent="0.25">
      <c r="A919" s="17"/>
      <c r="B919" s="17"/>
      <c r="C919" s="30"/>
      <c r="D919" s="17"/>
      <c r="E919" s="17"/>
      <c r="F919" s="17"/>
      <c r="G919" s="17"/>
      <c r="H919" s="17"/>
      <c r="I919" s="17"/>
    </row>
    <row r="920" spans="1:9" x14ac:dyDescent="0.25">
      <c r="A920" s="17"/>
      <c r="B920" s="17"/>
      <c r="C920" s="30"/>
      <c r="D920" s="17"/>
      <c r="E920" s="17"/>
      <c r="F920" s="17"/>
      <c r="G920" s="17"/>
      <c r="H920" s="17"/>
      <c r="I920" s="17"/>
    </row>
    <row r="921" spans="1:9" x14ac:dyDescent="0.25">
      <c r="A921" s="17"/>
      <c r="B921" s="17"/>
      <c r="C921" s="30"/>
      <c r="D921" s="17"/>
      <c r="E921" s="17"/>
      <c r="F921" s="17"/>
      <c r="G921" s="17"/>
      <c r="H921" s="17"/>
      <c r="I921" s="17"/>
    </row>
    <row r="922" spans="1:9" x14ac:dyDescent="0.25">
      <c r="A922" s="17"/>
      <c r="B922" s="17"/>
      <c r="C922" s="30"/>
      <c r="D922" s="17"/>
      <c r="E922" s="17"/>
      <c r="F922" s="17"/>
      <c r="G922" s="17"/>
      <c r="H922" s="17"/>
      <c r="I922" s="17"/>
    </row>
    <row r="923" spans="1:9" x14ac:dyDescent="0.25">
      <c r="A923" s="17"/>
      <c r="B923" s="17"/>
      <c r="C923" s="30"/>
      <c r="D923" s="17"/>
      <c r="E923" s="17"/>
      <c r="F923" s="17"/>
      <c r="G923" s="17"/>
      <c r="H923" s="17"/>
      <c r="I923" s="17"/>
    </row>
    <row r="924" spans="1:9" x14ac:dyDescent="0.25">
      <c r="A924" s="17"/>
      <c r="B924" s="17"/>
      <c r="C924" s="30"/>
      <c r="D924" s="17"/>
      <c r="E924" s="17"/>
      <c r="F924" s="17"/>
      <c r="G924" s="17"/>
      <c r="H924" s="17"/>
      <c r="I924" s="17"/>
    </row>
    <row r="925" spans="1:9" x14ac:dyDescent="0.25">
      <c r="A925" s="17"/>
      <c r="B925" s="17"/>
      <c r="C925" s="30"/>
      <c r="D925" s="17"/>
      <c r="E925" s="17"/>
      <c r="F925" s="17"/>
      <c r="G925" s="17"/>
      <c r="H925" s="17"/>
      <c r="I925" s="17"/>
    </row>
    <row r="926" spans="1:9" x14ac:dyDescent="0.25">
      <c r="A926" s="17"/>
      <c r="B926" s="17"/>
      <c r="C926" s="30"/>
      <c r="D926" s="17"/>
      <c r="E926" s="17"/>
      <c r="F926" s="17"/>
      <c r="G926" s="17"/>
      <c r="H926" s="17"/>
      <c r="I926" s="17"/>
    </row>
    <row r="927" spans="1:9" x14ac:dyDescent="0.25">
      <c r="A927" s="17"/>
      <c r="B927" s="17"/>
      <c r="C927" s="30"/>
      <c r="D927" s="17"/>
      <c r="E927" s="17"/>
      <c r="F927" s="17"/>
      <c r="G927" s="17"/>
      <c r="H927" s="17"/>
      <c r="I927" s="17"/>
    </row>
    <row r="928" spans="1:9" x14ac:dyDescent="0.25">
      <c r="A928" s="17"/>
      <c r="B928" s="17"/>
      <c r="C928" s="30"/>
      <c r="D928" s="17"/>
      <c r="E928" s="17"/>
      <c r="F928" s="17"/>
      <c r="G928" s="17"/>
      <c r="H928" s="17"/>
      <c r="I928" s="17"/>
    </row>
    <row r="929" spans="1:9" x14ac:dyDescent="0.25">
      <c r="A929" s="17"/>
      <c r="B929" s="17"/>
      <c r="C929" s="30"/>
      <c r="D929" s="17"/>
      <c r="E929" s="17"/>
      <c r="F929" s="17"/>
      <c r="G929" s="17"/>
      <c r="H929" s="17"/>
      <c r="I929" s="17"/>
    </row>
    <row r="930" spans="1:9" x14ac:dyDescent="0.25">
      <c r="A930" s="17"/>
      <c r="B930" s="17"/>
      <c r="C930" s="30"/>
      <c r="D930" s="17"/>
      <c r="E930" s="17"/>
      <c r="F930" s="17"/>
      <c r="G930" s="17"/>
      <c r="H930" s="17"/>
      <c r="I930" s="17"/>
    </row>
    <row r="931" spans="1:9" x14ac:dyDescent="0.25">
      <c r="A931" s="17"/>
      <c r="B931" s="17"/>
      <c r="C931" s="30"/>
      <c r="D931" s="17"/>
      <c r="E931" s="17"/>
      <c r="F931" s="17"/>
      <c r="G931" s="17"/>
      <c r="H931" s="17"/>
      <c r="I931" s="17"/>
    </row>
    <row r="932" spans="1:9" x14ac:dyDescent="0.25">
      <c r="A932" s="17"/>
      <c r="B932" s="17"/>
      <c r="C932" s="30"/>
      <c r="D932" s="17"/>
      <c r="E932" s="17"/>
      <c r="F932" s="17"/>
      <c r="G932" s="17"/>
      <c r="H932" s="17"/>
      <c r="I932" s="17"/>
    </row>
    <row r="933" spans="1:9" x14ac:dyDescent="0.25">
      <c r="A933" s="17"/>
      <c r="B933" s="17"/>
      <c r="C933" s="30"/>
      <c r="D933" s="17"/>
      <c r="E933" s="17"/>
      <c r="F933" s="17"/>
      <c r="G933" s="17"/>
      <c r="H933" s="17"/>
      <c r="I933" s="17"/>
    </row>
    <row r="934" spans="1:9" x14ac:dyDescent="0.25">
      <c r="A934" s="17"/>
      <c r="B934" s="17"/>
      <c r="C934" s="30"/>
      <c r="D934" s="17"/>
      <c r="E934" s="17"/>
      <c r="F934" s="17"/>
      <c r="G934" s="17"/>
      <c r="H934" s="17"/>
      <c r="I934" s="17"/>
    </row>
    <row r="935" spans="1:9" x14ac:dyDescent="0.25">
      <c r="A935" s="17"/>
      <c r="B935" s="17"/>
      <c r="C935" s="30"/>
      <c r="D935" s="17"/>
      <c r="E935" s="17"/>
      <c r="F935" s="17"/>
      <c r="G935" s="17"/>
      <c r="H935" s="17"/>
      <c r="I935" s="17"/>
    </row>
    <row r="936" spans="1:9" x14ac:dyDescent="0.25">
      <c r="A936" s="17"/>
      <c r="B936" s="17"/>
      <c r="C936" s="30"/>
      <c r="D936" s="17"/>
      <c r="E936" s="17"/>
      <c r="F936" s="17"/>
      <c r="G936" s="17"/>
      <c r="H936" s="17"/>
      <c r="I936" s="17"/>
    </row>
    <row r="937" spans="1:9" x14ac:dyDescent="0.25">
      <c r="A937" s="17"/>
      <c r="B937" s="17"/>
      <c r="C937" s="30"/>
      <c r="D937" s="17"/>
      <c r="E937" s="17"/>
      <c r="F937" s="17"/>
      <c r="G937" s="17"/>
      <c r="H937" s="17"/>
      <c r="I937" s="17"/>
    </row>
    <row r="938" spans="1:9" x14ac:dyDescent="0.25">
      <c r="A938" s="17"/>
      <c r="B938" s="17"/>
      <c r="C938" s="30"/>
      <c r="D938" s="17"/>
      <c r="E938" s="17"/>
      <c r="F938" s="17"/>
      <c r="G938" s="17"/>
      <c r="H938" s="17"/>
      <c r="I938" s="17"/>
    </row>
    <row r="939" spans="1:9" x14ac:dyDescent="0.25">
      <c r="A939" s="17"/>
      <c r="B939" s="17"/>
      <c r="C939" s="30"/>
      <c r="D939" s="17"/>
      <c r="E939" s="17"/>
      <c r="F939" s="17"/>
      <c r="G939" s="17"/>
      <c r="H939" s="17"/>
      <c r="I939" s="17"/>
    </row>
    <row r="940" spans="1:9" x14ac:dyDescent="0.25">
      <c r="A940" s="17"/>
      <c r="B940" s="17"/>
      <c r="C940" s="30"/>
      <c r="D940" s="17"/>
      <c r="E940" s="17"/>
      <c r="F940" s="17"/>
      <c r="G940" s="17"/>
      <c r="H940" s="17"/>
      <c r="I940" s="17"/>
    </row>
    <row r="941" spans="1:9" x14ac:dyDescent="0.25">
      <c r="A941" s="17"/>
      <c r="B941" s="17"/>
      <c r="C941" s="30"/>
      <c r="D941" s="17"/>
      <c r="E941" s="17"/>
      <c r="F941" s="17"/>
      <c r="G941" s="17"/>
      <c r="H941" s="17"/>
      <c r="I941" s="17"/>
    </row>
    <row r="942" spans="1:9" x14ac:dyDescent="0.25">
      <c r="A942" s="17"/>
      <c r="B942" s="17"/>
      <c r="C942" s="30"/>
      <c r="D942" s="17"/>
      <c r="E942" s="17"/>
      <c r="F942" s="17"/>
      <c r="G942" s="17"/>
      <c r="H942" s="17"/>
      <c r="I942" s="17"/>
    </row>
    <row r="943" spans="1:9" x14ac:dyDescent="0.25">
      <c r="A943" s="17"/>
      <c r="B943" s="17"/>
      <c r="C943" s="30"/>
      <c r="D943" s="17"/>
      <c r="E943" s="17"/>
      <c r="F943" s="17"/>
      <c r="G943" s="17"/>
      <c r="H943" s="17"/>
      <c r="I943" s="17"/>
    </row>
    <row r="944" spans="1:9" x14ac:dyDescent="0.25">
      <c r="A944" s="17"/>
      <c r="B944" s="17"/>
      <c r="C944" s="30"/>
      <c r="D944" s="17"/>
      <c r="E944" s="17"/>
      <c r="F944" s="17"/>
      <c r="G944" s="17"/>
      <c r="H944" s="17"/>
      <c r="I944" s="17"/>
    </row>
    <row r="945" spans="1:9" x14ac:dyDescent="0.25">
      <c r="A945" s="17"/>
      <c r="B945" s="17"/>
      <c r="C945" s="30"/>
      <c r="D945" s="17"/>
      <c r="E945" s="17"/>
      <c r="F945" s="17"/>
      <c r="G945" s="17"/>
      <c r="H945" s="17"/>
      <c r="I945" s="17"/>
    </row>
    <row r="946" spans="1:9" x14ac:dyDescent="0.25">
      <c r="A946" s="17"/>
      <c r="B946" s="17"/>
      <c r="C946" s="30"/>
      <c r="D946" s="17"/>
      <c r="E946" s="17"/>
      <c r="F946" s="17"/>
      <c r="G946" s="17"/>
      <c r="H946" s="17"/>
      <c r="I946" s="17"/>
    </row>
    <row r="947" spans="1:9" x14ac:dyDescent="0.25">
      <c r="A947" s="17"/>
      <c r="B947" s="17"/>
      <c r="C947" s="30"/>
      <c r="D947" s="17"/>
      <c r="E947" s="17"/>
      <c r="F947" s="17"/>
      <c r="G947" s="17"/>
      <c r="H947" s="17"/>
      <c r="I947" s="17"/>
    </row>
    <row r="948" spans="1:9" x14ac:dyDescent="0.25">
      <c r="A948" s="17"/>
      <c r="B948" s="17"/>
      <c r="C948" s="30"/>
      <c r="D948" s="17"/>
      <c r="E948" s="17"/>
      <c r="F948" s="17"/>
      <c r="G948" s="17"/>
      <c r="H948" s="17"/>
      <c r="I948" s="17"/>
    </row>
    <row r="949" spans="1:9" x14ac:dyDescent="0.25">
      <c r="A949" s="17"/>
      <c r="B949" s="17"/>
      <c r="C949" s="30"/>
      <c r="D949" s="17"/>
      <c r="E949" s="17"/>
      <c r="F949" s="17"/>
      <c r="G949" s="17"/>
      <c r="H949" s="17"/>
      <c r="I949" s="17"/>
    </row>
    <row r="950" spans="1:9" x14ac:dyDescent="0.25">
      <c r="A950" s="17"/>
      <c r="B950" s="17"/>
      <c r="C950" s="30"/>
      <c r="D950" s="17"/>
      <c r="E950" s="17"/>
      <c r="F950" s="17"/>
      <c r="G950" s="17"/>
      <c r="H950" s="17"/>
      <c r="I950" s="17"/>
    </row>
    <row r="951" spans="1:9" x14ac:dyDescent="0.25">
      <c r="A951" s="17"/>
      <c r="B951" s="17"/>
      <c r="C951" s="30"/>
      <c r="D951" s="17"/>
      <c r="E951" s="17"/>
      <c r="F951" s="17"/>
      <c r="G951" s="17"/>
      <c r="H951" s="17"/>
      <c r="I951" s="17"/>
    </row>
    <row r="952" spans="1:9" x14ac:dyDescent="0.25">
      <c r="A952" s="17"/>
      <c r="B952" s="17"/>
      <c r="C952" s="30"/>
      <c r="D952" s="17"/>
      <c r="E952" s="17"/>
      <c r="F952" s="17"/>
      <c r="G952" s="17"/>
      <c r="H952" s="17"/>
      <c r="I952" s="17"/>
    </row>
    <row r="953" spans="1:9" x14ac:dyDescent="0.25">
      <c r="A953" s="17"/>
      <c r="B953" s="17"/>
      <c r="C953" s="30"/>
      <c r="D953" s="17"/>
      <c r="E953" s="17"/>
      <c r="F953" s="17"/>
      <c r="G953" s="17"/>
      <c r="H953" s="17"/>
      <c r="I953" s="17"/>
    </row>
    <row r="954" spans="1:9" x14ac:dyDescent="0.25">
      <c r="A954" s="17"/>
      <c r="B954" s="17"/>
      <c r="C954" s="30"/>
      <c r="D954" s="17"/>
      <c r="E954" s="17"/>
      <c r="F954" s="17"/>
      <c r="G954" s="17"/>
      <c r="H954" s="17"/>
      <c r="I954" s="17"/>
    </row>
    <row r="955" spans="1:9" x14ac:dyDescent="0.25">
      <c r="A955" s="17"/>
      <c r="B955" s="17"/>
      <c r="C955" s="30"/>
      <c r="D955" s="17"/>
      <c r="E955" s="17"/>
      <c r="F955" s="17"/>
      <c r="G955" s="17"/>
      <c r="H955" s="17"/>
      <c r="I955" s="17"/>
    </row>
    <row r="956" spans="1:9" x14ac:dyDescent="0.25">
      <c r="A956" s="17"/>
      <c r="B956" s="17"/>
      <c r="C956" s="30"/>
      <c r="D956" s="17"/>
      <c r="E956" s="17"/>
      <c r="F956" s="17"/>
      <c r="G956" s="17"/>
      <c r="H956" s="17"/>
      <c r="I956" s="17"/>
    </row>
    <row r="957" spans="1:9" x14ac:dyDescent="0.25">
      <c r="A957" s="17"/>
      <c r="B957" s="17"/>
      <c r="C957" s="30"/>
      <c r="D957" s="17"/>
      <c r="E957" s="17"/>
      <c r="F957" s="17"/>
      <c r="G957" s="17"/>
      <c r="H957" s="17"/>
      <c r="I957" s="17"/>
    </row>
    <row r="958" spans="1:9" x14ac:dyDescent="0.25">
      <c r="A958" s="17"/>
      <c r="B958" s="17"/>
      <c r="C958" s="30"/>
      <c r="D958" s="17"/>
      <c r="E958" s="17"/>
      <c r="F958" s="17"/>
      <c r="G958" s="17"/>
      <c r="H958" s="17"/>
      <c r="I958" s="17"/>
    </row>
    <row r="959" spans="1:9" x14ac:dyDescent="0.25">
      <c r="A959" s="17"/>
      <c r="B959" s="17"/>
      <c r="C959" s="30"/>
      <c r="D959" s="17"/>
      <c r="E959" s="17"/>
      <c r="F959" s="17"/>
      <c r="G959" s="17"/>
      <c r="H959" s="17"/>
      <c r="I959" s="17"/>
    </row>
    <row r="960" spans="1:9" x14ac:dyDescent="0.25">
      <c r="A960" s="17"/>
      <c r="B960" s="17"/>
      <c r="C960" s="30"/>
      <c r="D960" s="17"/>
      <c r="E960" s="17"/>
      <c r="F960" s="17"/>
      <c r="G960" s="17"/>
      <c r="H960" s="17"/>
      <c r="I960" s="17"/>
    </row>
    <row r="961" spans="1:9" x14ac:dyDescent="0.25">
      <c r="A961" s="17"/>
      <c r="B961" s="17"/>
      <c r="C961" s="30"/>
      <c r="D961" s="17"/>
      <c r="E961" s="17"/>
      <c r="F961" s="17"/>
      <c r="G961" s="17"/>
      <c r="H961" s="17"/>
      <c r="I961" s="17"/>
    </row>
    <row r="962" spans="1:9" x14ac:dyDescent="0.25">
      <c r="A962" s="17"/>
      <c r="B962" s="17"/>
      <c r="C962" s="30"/>
      <c r="D962" s="17"/>
      <c r="E962" s="17"/>
      <c r="F962" s="17"/>
      <c r="G962" s="17"/>
      <c r="H962" s="17"/>
      <c r="I962" s="17"/>
    </row>
    <row r="963" spans="1:9" x14ac:dyDescent="0.25">
      <c r="A963" s="17"/>
      <c r="B963" s="17"/>
      <c r="C963" s="30"/>
      <c r="D963" s="17"/>
      <c r="E963" s="17"/>
      <c r="F963" s="17"/>
      <c r="G963" s="17"/>
      <c r="H963" s="17"/>
      <c r="I963" s="17"/>
    </row>
    <row r="964" spans="1:9" x14ac:dyDescent="0.25">
      <c r="A964" s="17"/>
      <c r="B964" s="17"/>
      <c r="C964" s="30"/>
      <c r="D964" s="17"/>
      <c r="E964" s="17"/>
      <c r="F964" s="17"/>
      <c r="G964" s="17"/>
      <c r="H964" s="17"/>
      <c r="I964" s="17"/>
    </row>
    <row r="965" spans="1:9" x14ac:dyDescent="0.25">
      <c r="A965" s="17"/>
      <c r="B965" s="17"/>
      <c r="C965" s="30"/>
      <c r="D965" s="17"/>
      <c r="E965" s="17"/>
      <c r="F965" s="17"/>
      <c r="G965" s="17"/>
      <c r="H965" s="17"/>
      <c r="I965" s="17"/>
    </row>
    <row r="966" spans="1:9" x14ac:dyDescent="0.25">
      <c r="A966" s="17"/>
      <c r="B966" s="17"/>
      <c r="C966" s="30"/>
      <c r="D966" s="17"/>
      <c r="E966" s="17"/>
      <c r="F966" s="17"/>
      <c r="G966" s="17"/>
      <c r="H966" s="17"/>
      <c r="I966" s="17"/>
    </row>
    <row r="967" spans="1:9" x14ac:dyDescent="0.25">
      <c r="A967" s="17"/>
      <c r="B967" s="17"/>
      <c r="C967" s="30"/>
      <c r="D967" s="17"/>
      <c r="E967" s="17"/>
      <c r="F967" s="17"/>
      <c r="G967" s="17"/>
      <c r="H967" s="17"/>
      <c r="I967" s="17"/>
    </row>
    <row r="968" spans="1:9" x14ac:dyDescent="0.25">
      <c r="A968" s="17"/>
      <c r="B968" s="17"/>
      <c r="C968" s="30"/>
      <c r="D968" s="17"/>
      <c r="E968" s="17"/>
      <c r="F968" s="17"/>
      <c r="G968" s="17"/>
      <c r="H968" s="17"/>
      <c r="I968" s="17"/>
    </row>
    <row r="969" spans="1:9" x14ac:dyDescent="0.25">
      <c r="A969" s="17"/>
      <c r="B969" s="17"/>
      <c r="C969" s="30"/>
      <c r="D969" s="17"/>
      <c r="E969" s="17"/>
      <c r="F969" s="17"/>
      <c r="G969" s="17"/>
      <c r="H969" s="17"/>
      <c r="I969" s="17"/>
    </row>
    <row r="970" spans="1:9" x14ac:dyDescent="0.25">
      <c r="A970" s="17"/>
      <c r="B970" s="17"/>
      <c r="C970" s="30"/>
      <c r="D970" s="17"/>
      <c r="E970" s="17"/>
      <c r="F970" s="17"/>
      <c r="G970" s="17"/>
      <c r="H970" s="17"/>
      <c r="I970" s="17"/>
    </row>
    <row r="971" spans="1:9" x14ac:dyDescent="0.25">
      <c r="A971" s="17"/>
      <c r="B971" s="17"/>
      <c r="C971" s="30"/>
      <c r="D971" s="17"/>
      <c r="E971" s="17"/>
      <c r="F971" s="17"/>
      <c r="G971" s="17"/>
      <c r="H971" s="17"/>
      <c r="I971" s="17"/>
    </row>
    <row r="972" spans="1:9" x14ac:dyDescent="0.25">
      <c r="A972" s="17"/>
      <c r="B972" s="17"/>
      <c r="C972" s="30"/>
      <c r="D972" s="17"/>
      <c r="E972" s="17"/>
      <c r="F972" s="17"/>
      <c r="G972" s="17"/>
      <c r="H972" s="17"/>
      <c r="I972" s="17"/>
    </row>
    <row r="973" spans="1:9" x14ac:dyDescent="0.25">
      <c r="A973" s="17"/>
      <c r="B973" s="17"/>
      <c r="C973" s="30"/>
      <c r="D973" s="17"/>
      <c r="E973" s="17"/>
      <c r="F973" s="17"/>
      <c r="G973" s="17"/>
      <c r="H973" s="17"/>
      <c r="I973" s="17"/>
    </row>
    <row r="974" spans="1:9" x14ac:dyDescent="0.25">
      <c r="A974" s="17"/>
      <c r="B974" s="17"/>
      <c r="C974" s="30"/>
      <c r="D974" s="17"/>
      <c r="E974" s="17"/>
      <c r="F974" s="17"/>
      <c r="G974" s="17"/>
      <c r="H974" s="17"/>
      <c r="I974" s="17"/>
    </row>
    <row r="975" spans="1:9" x14ac:dyDescent="0.25">
      <c r="A975" s="17"/>
      <c r="B975" s="17"/>
      <c r="C975" s="30"/>
      <c r="D975" s="17"/>
      <c r="E975" s="17"/>
      <c r="F975" s="17"/>
      <c r="G975" s="17"/>
      <c r="H975" s="17"/>
      <c r="I975" s="17"/>
    </row>
    <row r="976" spans="1:9" x14ac:dyDescent="0.25">
      <c r="A976" s="17"/>
      <c r="B976" s="17"/>
      <c r="C976" s="30"/>
      <c r="D976" s="17"/>
      <c r="E976" s="17"/>
      <c r="F976" s="17"/>
      <c r="G976" s="17"/>
      <c r="H976" s="17"/>
      <c r="I976" s="17"/>
    </row>
    <row r="977" spans="1:9" x14ac:dyDescent="0.25">
      <c r="A977" s="17"/>
      <c r="B977" s="17"/>
      <c r="C977" s="30"/>
      <c r="D977" s="17"/>
      <c r="E977" s="17"/>
      <c r="F977" s="17"/>
      <c r="G977" s="17"/>
      <c r="H977" s="17"/>
      <c r="I977" s="17"/>
    </row>
    <row r="978" spans="1:9" x14ac:dyDescent="0.25">
      <c r="A978" s="17"/>
      <c r="B978" s="17"/>
      <c r="C978" s="30"/>
      <c r="D978" s="17"/>
      <c r="E978" s="17"/>
      <c r="F978" s="17"/>
      <c r="G978" s="17"/>
      <c r="H978" s="17"/>
      <c r="I978" s="17"/>
    </row>
    <row r="979" spans="1:9" x14ac:dyDescent="0.25">
      <c r="A979" s="17"/>
      <c r="B979" s="17"/>
      <c r="C979" s="30"/>
      <c r="D979" s="17"/>
      <c r="E979" s="17"/>
      <c r="F979" s="17"/>
      <c r="G979" s="17"/>
      <c r="H979" s="17"/>
      <c r="I979" s="17"/>
    </row>
    <row r="980" spans="1:9" x14ac:dyDescent="0.25">
      <c r="A980" s="17"/>
      <c r="B980" s="17"/>
      <c r="C980" s="30"/>
      <c r="D980" s="17"/>
      <c r="E980" s="17"/>
      <c r="F980" s="17"/>
      <c r="G980" s="17"/>
      <c r="H980" s="17"/>
      <c r="I980" s="17"/>
    </row>
    <row r="981" spans="1:9" x14ac:dyDescent="0.25">
      <c r="A981" s="17"/>
      <c r="B981" s="17"/>
      <c r="C981" s="30"/>
      <c r="D981" s="17"/>
      <c r="E981" s="17"/>
      <c r="F981" s="17"/>
      <c r="G981" s="17"/>
      <c r="H981" s="17"/>
      <c r="I981" s="17"/>
    </row>
    <row r="982" spans="1:9" x14ac:dyDescent="0.25">
      <c r="A982" s="17"/>
      <c r="B982" s="17"/>
      <c r="C982" s="30"/>
      <c r="D982" s="17"/>
      <c r="E982" s="17"/>
      <c r="F982" s="17"/>
      <c r="G982" s="17"/>
      <c r="H982" s="17"/>
      <c r="I982" s="17"/>
    </row>
    <row r="983" spans="1:9" x14ac:dyDescent="0.25">
      <c r="A983" s="17"/>
      <c r="B983" s="17"/>
      <c r="C983" s="30"/>
      <c r="D983" s="17"/>
      <c r="E983" s="17"/>
      <c r="F983" s="17"/>
      <c r="G983" s="17"/>
      <c r="H983" s="17"/>
      <c r="I983" s="17"/>
    </row>
    <row r="984" spans="1:9" x14ac:dyDescent="0.25">
      <c r="A984" s="17"/>
      <c r="B984" s="17"/>
      <c r="C984" s="30"/>
      <c r="D984" s="17"/>
      <c r="E984" s="17"/>
      <c r="F984" s="17"/>
      <c r="G984" s="17"/>
      <c r="H984" s="17"/>
      <c r="I984" s="17"/>
    </row>
    <row r="985" spans="1:9" x14ac:dyDescent="0.25">
      <c r="A985" s="17"/>
      <c r="B985" s="17"/>
      <c r="C985" s="30"/>
      <c r="D985" s="17"/>
      <c r="E985" s="17"/>
      <c r="F985" s="17"/>
      <c r="G985" s="17"/>
      <c r="H985" s="17"/>
      <c r="I985" s="17"/>
    </row>
    <row r="986" spans="1:9" x14ac:dyDescent="0.25">
      <c r="A986" s="17"/>
      <c r="B986" s="17"/>
      <c r="C986" s="30"/>
      <c r="D986" s="17"/>
      <c r="E986" s="17"/>
      <c r="F986" s="17"/>
      <c r="G986" s="17"/>
      <c r="H986" s="17"/>
      <c r="I986" s="17"/>
    </row>
    <row r="987" spans="1:9" x14ac:dyDescent="0.25">
      <c r="A987" s="17"/>
      <c r="B987" s="17"/>
      <c r="C987" s="30"/>
      <c r="D987" s="17"/>
      <c r="E987" s="17"/>
      <c r="F987" s="17"/>
      <c r="G987" s="17"/>
      <c r="H987" s="17"/>
      <c r="I987" s="17"/>
    </row>
    <row r="988" spans="1:9" x14ac:dyDescent="0.25">
      <c r="A988" s="17"/>
      <c r="B988" s="17"/>
      <c r="C988" s="30"/>
      <c r="D988" s="17"/>
      <c r="E988" s="17"/>
      <c r="F988" s="17"/>
      <c r="G988" s="17"/>
      <c r="H988" s="17"/>
      <c r="I988" s="17"/>
    </row>
    <row r="989" spans="1:9" x14ac:dyDescent="0.25">
      <c r="A989" s="17"/>
      <c r="B989" s="17"/>
      <c r="C989" s="30"/>
      <c r="D989" s="17"/>
      <c r="E989" s="17"/>
      <c r="F989" s="17"/>
      <c r="G989" s="17"/>
      <c r="H989" s="17"/>
      <c r="I989" s="17"/>
    </row>
    <row r="990" spans="1:9" x14ac:dyDescent="0.25">
      <c r="A990" s="17"/>
      <c r="B990" s="17"/>
      <c r="C990" s="30"/>
      <c r="D990" s="17"/>
      <c r="E990" s="17"/>
      <c r="F990" s="17"/>
      <c r="G990" s="17"/>
      <c r="H990" s="17"/>
      <c r="I990" s="17"/>
    </row>
    <row r="991" spans="1:9" x14ac:dyDescent="0.25">
      <c r="A991" s="17"/>
      <c r="B991" s="17"/>
      <c r="C991" s="30"/>
      <c r="D991" s="17"/>
      <c r="E991" s="17"/>
      <c r="F991" s="17"/>
      <c r="G991" s="17"/>
      <c r="H991" s="17"/>
      <c r="I991" s="17"/>
    </row>
    <row r="992" spans="1:9" x14ac:dyDescent="0.25">
      <c r="A992" s="17"/>
      <c r="B992" s="17"/>
      <c r="C992" s="30"/>
      <c r="D992" s="17"/>
      <c r="E992" s="17"/>
      <c r="F992" s="17"/>
      <c r="G992" s="17"/>
      <c r="H992" s="17"/>
      <c r="I992" s="17"/>
    </row>
    <row r="993" spans="1:9" x14ac:dyDescent="0.25">
      <c r="A993" s="17"/>
      <c r="B993" s="17"/>
      <c r="C993" s="30"/>
      <c r="D993" s="17"/>
      <c r="E993" s="17"/>
      <c r="F993" s="17"/>
      <c r="G993" s="17"/>
      <c r="H993" s="17"/>
      <c r="I993" s="17"/>
    </row>
    <row r="994" spans="1:9" x14ac:dyDescent="0.25">
      <c r="A994" s="17"/>
      <c r="B994" s="17"/>
      <c r="C994" s="30"/>
      <c r="D994" s="17"/>
      <c r="E994" s="17"/>
      <c r="F994" s="17"/>
      <c r="G994" s="17"/>
      <c r="H994" s="17"/>
    </row>
    <row r="995" spans="1:9" x14ac:dyDescent="0.25">
      <c r="A995" s="17"/>
      <c r="B995" s="17"/>
      <c r="C995" s="30"/>
      <c r="D995" s="17"/>
      <c r="E995" s="17"/>
      <c r="F995" s="17"/>
      <c r="G995" s="17"/>
      <c r="H995" s="17"/>
    </row>
    <row r="996" spans="1:9" x14ac:dyDescent="0.25">
      <c r="A996" s="17"/>
      <c r="B996" s="17"/>
      <c r="C996" s="30"/>
      <c r="D996" s="17"/>
      <c r="E996" s="17"/>
      <c r="F996" s="17"/>
      <c r="G996" s="17"/>
      <c r="H996" s="17"/>
    </row>
    <row r="997" spans="1:9" x14ac:dyDescent="0.25">
      <c r="A997" s="17"/>
      <c r="B997" s="17"/>
      <c r="C997" s="30"/>
      <c r="D997" s="17"/>
      <c r="E997" s="17"/>
      <c r="F997" s="17"/>
      <c r="G997" s="17"/>
      <c r="H997" s="17"/>
    </row>
    <row r="998" spans="1:9" x14ac:dyDescent="0.25">
      <c r="A998" s="17"/>
      <c r="B998" s="17"/>
      <c r="C998" s="30"/>
      <c r="D998" s="17"/>
      <c r="E998" s="17"/>
      <c r="F998" s="17"/>
      <c r="G998" s="17"/>
      <c r="H998" s="17"/>
    </row>
    <row r="999" spans="1:9" x14ac:dyDescent="0.25">
      <c r="A999" s="17"/>
      <c r="B999" s="17"/>
      <c r="C999" s="30"/>
      <c r="D999" s="17"/>
      <c r="E999" s="17"/>
      <c r="F999" s="17"/>
      <c r="G999" s="17"/>
      <c r="H999" s="17"/>
    </row>
    <row r="1000" spans="1:9" x14ac:dyDescent="0.25">
      <c r="A1000" s="17"/>
      <c r="B1000" s="17"/>
      <c r="C1000" s="30"/>
      <c r="D1000" s="17"/>
      <c r="E1000" s="17"/>
      <c r="F1000" s="17"/>
      <c r="G1000" s="17"/>
      <c r="H1000" s="17"/>
    </row>
  </sheetData>
  <conditionalFormatting sqref="G2:G263">
    <cfRule type="expression" dxfId="1" priority="1">
      <formula>G2&lt;0</formula>
    </cfRule>
    <cfRule type="expression" dxfId="0" priority="2">
      <formula>G2&gt;0</formula>
    </cfRule>
  </conditionalFormatting>
  <dataValidations count="1">
    <dataValidation type="list" allowBlank="1" showErrorMessage="1" sqref="C2:C1000" xr:uid="{00000000-0002-0000-0F00-000001000000}">
      <formula1>"À vista,Parcelado"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F00-000000000000}">
          <x14:formula1>
            <xm:f>CATEGORIASCONFIGS!$E$2:$E$35</xm:f>
          </x14:formula1>
          <xm:sqref>E2:E263</xm:sqref>
        </x14:dataValidation>
        <x14:dataValidation type="list" allowBlank="1" showErrorMessage="1" xr:uid="{00000000-0002-0000-0F00-000002000000}">
          <x14:formula1>
            <xm:f>CATEGORIASCONFIGS!$C$2:$C$8</xm:f>
          </x14:formula1>
          <xm:sqref>D2:D263</xm:sqref>
        </x14:dataValidation>
        <x14:dataValidation type="list" allowBlank="1" showErrorMessage="1" xr:uid="{00000000-0002-0000-0F00-000003000000}">
          <x14:formula1>
            <xm:f>CATEGORIASCONFIGS!$A$2:$A$4</xm:f>
          </x14:formula1>
          <xm:sqref>B2:B263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16</vt:i4>
      </vt:variant>
    </vt:vector>
  </HeadingPairs>
  <TitlesOfParts>
    <vt:vector size="16" baseType="lpstr">
      <vt:lpstr>RESUMO ANUAL</vt:lpstr>
      <vt:lpstr>METAS</vt:lpstr>
      <vt:lpstr>INVESTIMENTOS</vt:lpstr>
      <vt:lpstr>CATEGORIASCONFIGS</vt:lpstr>
      <vt:lpstr>JANEIRO2026</vt:lpstr>
      <vt:lpstr>FEVEREIRO2026</vt:lpstr>
      <vt:lpstr>MARÇO2026</vt:lpstr>
      <vt:lpstr>ABRIL2026</vt:lpstr>
      <vt:lpstr>MAIO2026</vt:lpstr>
      <vt:lpstr>JUNHO2026</vt:lpstr>
      <vt:lpstr>JULHO2026</vt:lpstr>
      <vt:lpstr>AGOSTO2026</vt:lpstr>
      <vt:lpstr>SETEMBRO2026</vt:lpstr>
      <vt:lpstr>OUTUBRO2026</vt:lpstr>
      <vt:lpstr>NOVEMBRO2026</vt:lpstr>
      <vt:lpstr>DEZEMBRO2026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Felipe</cp:lastModifiedBy>
  <dcterms:created xsi:type="dcterms:W3CDTF">2026-10-29T22:27:53Z</dcterms:created>
  <dcterms:modified xsi:type="dcterms:W3CDTF">2026-10-29T22:27:53Z</dcterms:modified>
</cp:coreProperties>
</file>